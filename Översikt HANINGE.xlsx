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46289</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46289</v>
      </c>
      <c r="F3" t="inlineStr">
        <is>
          <t>STOCKHOLMS LÄN</t>
        </is>
      </c>
      <c r="G3" t="inlineStr">
        <is>
          <t>HANINGE</t>
        </is>
      </c>
      <c r="I3" t="n">
        <v>19.9</v>
      </c>
      <c r="J3" t="n">
        <v>23</v>
      </c>
      <c r="K3" t="n">
        <v>21</v>
      </c>
      <c r="L3" t="n">
        <v>18</v>
      </c>
      <c r="M3" t="n">
        <v>7</v>
      </c>
      <c r="N3" t="n">
        <v>0</v>
      </c>
      <c r="O3" t="n">
        <v>0</v>
      </c>
      <c r="P3" t="n">
        <v>0</v>
      </c>
      <c r="Q3" t="n">
        <v>25</v>
      </c>
      <c r="R3" t="n">
        <v>7</v>
      </c>
      <c r="S3" t="n">
        <v>63</v>
      </c>
      <c r="T3" t="n">
        <v>267</v>
      </c>
      <c r="U3" t="n">
        <v>132</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46289</v>
      </c>
      <c r="F4" t="inlineStr">
        <is>
          <t>STOCKHOLMS LÄN</t>
        </is>
      </c>
      <c r="G4" t="inlineStr">
        <is>
          <t>HANINGE</t>
        </is>
      </c>
      <c r="I4" t="n">
        <v>19.8</v>
      </c>
      <c r="J4" t="n">
        <v>22</v>
      </c>
      <c r="K4" t="n">
        <v>20</v>
      </c>
      <c r="L4" t="n">
        <v>18</v>
      </c>
      <c r="M4" t="n">
        <v>7</v>
      </c>
      <c r="N4" t="n">
        <v>0</v>
      </c>
      <c r="O4" t="n">
        <v>0</v>
      </c>
      <c r="P4" t="n">
        <v>0</v>
      </c>
      <c r="Q4" t="n">
        <v>25</v>
      </c>
      <c r="R4" t="n">
        <v>7</v>
      </c>
      <c r="S4" t="n">
        <v>58</v>
      </c>
      <c r="T4" t="n">
        <v>259</v>
      </c>
      <c r="U4" t="n">
        <v>168</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46289</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46289</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46289</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46289</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67894-2021</t>
        </is>
      </c>
      <c r="B9" t="inlineStr">
        <is>
          <t>avverkningsanmälan</t>
        </is>
      </c>
      <c r="C9" t="inlineStr">
        <is>
          <t>Föryngringsavverkning</t>
        </is>
      </c>
      <c r="D9" s="1" t="n">
        <v>44525</v>
      </c>
      <c r="E9" s="1" t="n">
        <v>46289</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46289</v>
      </c>
      <c r="F10" t="inlineStr">
        <is>
          <t>STOCKHOLMS LÄN</t>
        </is>
      </c>
      <c r="G10" t="inlineStr">
        <is>
          <t>HANINGE</t>
        </is>
      </c>
      <c r="I10" t="n">
        <v>2.6</v>
      </c>
      <c r="J10" t="n">
        <v>8</v>
      </c>
      <c r="K10" t="n">
        <v>9</v>
      </c>
      <c r="L10" t="n">
        <v>3</v>
      </c>
      <c r="M10" t="n">
        <v>2</v>
      </c>
      <c r="N10" t="n">
        <v>0</v>
      </c>
      <c r="O10" t="n">
        <v>0</v>
      </c>
      <c r="P10" t="n">
        <v>0</v>
      </c>
      <c r="Q10" t="n">
        <v>5</v>
      </c>
      <c r="R10" t="n">
        <v>2</v>
      </c>
      <c r="S10" t="n">
        <v>22</v>
      </c>
      <c r="T10" t="n">
        <v>49</v>
      </c>
      <c r="U10" t="n">
        <v>44</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46289</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46289</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46289</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46289</v>
      </c>
      <c r="F14" t="inlineStr">
        <is>
          <t>STOCKHOLMS LÄN</t>
        </is>
      </c>
      <c r="G14" t="inlineStr">
        <is>
          <t>HANINGE</t>
        </is>
      </c>
      <c r="I14" t="n">
        <v>6.6</v>
      </c>
      <c r="J14" t="n">
        <v>5</v>
      </c>
      <c r="K14" t="n">
        <v>8</v>
      </c>
      <c r="L14" t="n">
        <v>8</v>
      </c>
      <c r="M14" t="n">
        <v>1</v>
      </c>
      <c r="N14" t="n">
        <v>0</v>
      </c>
      <c r="O14" t="n">
        <v>0</v>
      </c>
      <c r="P14" t="n">
        <v>0</v>
      </c>
      <c r="Q14" t="n">
        <v>9</v>
      </c>
      <c r="R14" t="n">
        <v>1</v>
      </c>
      <c r="S14" t="n">
        <v>19</v>
      </c>
      <c r="T14" t="n">
        <v>32</v>
      </c>
      <c r="U14" t="n">
        <v>27</v>
      </c>
      <c r="V14"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46289</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46289</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46289</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46289</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46289</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46289</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46289</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28861-2026</t>
        </is>
      </c>
      <c r="B22" t="inlineStr">
        <is>
          <t>avverkningsanmälan</t>
        </is>
      </c>
      <c r="C22" t="inlineStr">
        <is>
          <t>Avverkning för annat ändamål</t>
        </is>
      </c>
      <c r="D22" s="1" t="n">
        <v>46199</v>
      </c>
      <c r="E22" s="1" t="n">
        <v>46289</v>
      </c>
      <c r="F22" t="inlineStr">
        <is>
          <t>STOCKHOLMS LÄN</t>
        </is>
      </c>
      <c r="G22" t="inlineStr">
        <is>
          <t>HANINGE</t>
        </is>
      </c>
      <c r="I22" t="n">
        <v>1.3</v>
      </c>
      <c r="J22" t="n">
        <v>1</v>
      </c>
      <c r="K22" t="n">
        <v>1</v>
      </c>
      <c r="L22" t="n">
        <v>1</v>
      </c>
      <c r="M22" t="n">
        <v>0</v>
      </c>
      <c r="N22" t="n">
        <v>0</v>
      </c>
      <c r="O22" t="n">
        <v>0</v>
      </c>
      <c r="P22" t="n">
        <v>0</v>
      </c>
      <c r="Q22" t="n">
        <v>1</v>
      </c>
      <c r="R22" t="n">
        <v>0</v>
      </c>
      <c r="S22" t="n">
        <v>3</v>
      </c>
      <c r="T22" t="n">
        <v>3</v>
      </c>
      <c r="U22" t="n">
        <v>2</v>
      </c>
      <c r="V22" s="2" t="inlineStr">
        <is>
          <t>Skogshare
Grovticka
Nattskärra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c r="AE22">
        <f>HYPERLINK("https://klasma.github.io/Logging_0136/fåglar/A 28861-2026 prioriterade fågelarter.docx", "A 28861-2026")</f>
        <v/>
      </c>
    </row>
    <row r="23" ht="15" customHeight="1">
      <c r="A23" t="inlineStr">
        <is>
          <t>A 39636-2022</t>
        </is>
      </c>
      <c r="B23" t="inlineStr">
        <is>
          <t>avverkningsanmälan</t>
        </is>
      </c>
      <c r="C23" t="inlineStr">
        <is>
          <t>Föryngringsavverkning</t>
        </is>
      </c>
      <c r="D23" s="1" t="n">
        <v>44818</v>
      </c>
      <c r="E23" s="1" t="n">
        <v>46289</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46289</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46289</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34823-2022</t>
        </is>
      </c>
      <c r="B26" t="inlineStr">
        <is>
          <t>avverkningsanmälan</t>
        </is>
      </c>
      <c r="C26" t="inlineStr">
        <is>
          <t>Föryngringsavverkning</t>
        </is>
      </c>
      <c r="D26" s="1" t="n">
        <v>44796</v>
      </c>
      <c r="E26" s="1" t="n">
        <v>46289</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60369-2023</t>
        </is>
      </c>
      <c r="B27" t="inlineStr">
        <is>
          <t>avverkningsanmälan</t>
        </is>
      </c>
      <c r="C27" t="inlineStr">
        <is>
          <t>Föryngringsavverkning</t>
        </is>
      </c>
      <c r="D27" s="1" t="n">
        <v>45259</v>
      </c>
      <c r="E27" s="1" t="n">
        <v>46289</v>
      </c>
      <c r="F27" t="inlineStr">
        <is>
          <t>STOCKHOLMS LÄN</t>
        </is>
      </c>
      <c r="G27" t="inlineStr">
        <is>
          <t>HANINGE</t>
        </is>
      </c>
      <c r="I27" t="n">
        <v>2.9</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HYPERLINK("https://klasma.github.io/Logging_0136/artfynd/A 60369-2023 artfynd.xlsx", "A 60369-2023")</f>
        <v/>
      </c>
      <c r="X27">
        <f>HYPERLINK("https://klasma.github.io/Logging_0136/kartor/A 60369-2023 karta.png", "A 60369-2023")</f>
        <v/>
      </c>
      <c r="Y27">
        <f>HYPERLINK("https://klasma.github.io/Logging_0136/kartor_geotiff/A 60369-2023 georefererad karta.tif", "A 60369-2023")</f>
        <v/>
      </c>
      <c r="AA27">
        <f>HYPERLINK("https://klasma.github.io/Logging_0136/klagomål/A 60369-2023 FSC-klagomål.docx", "A 60369-2023")</f>
        <v/>
      </c>
      <c r="AB27">
        <f>HYPERLINK("https://klasma.github.io/Logging_0136/klagomålsmail/A 60369-2023 FSC-klagomål mail.docx", "A 60369-2023")</f>
        <v/>
      </c>
      <c r="AC27">
        <f>HYPERLINK("https://klasma.github.io/Logging_0136/tillsyn/A 60369-2023 tillsynsbegäran.docx", "A 60369-2023")</f>
        <v/>
      </c>
      <c r="AD27">
        <f>HYPERLINK("https://klasma.github.io/Logging_0136/tillsynsmail/A 60369-2023 tillsynsbegäran mail.docx", "A 60369-2023")</f>
        <v/>
      </c>
    </row>
    <row r="28" ht="15" customHeight="1">
      <c r="A28" t="inlineStr">
        <is>
          <t>A 6648-2023</t>
        </is>
      </c>
      <c r="B28" t="inlineStr">
        <is>
          <t>avverkningsanmälan</t>
        </is>
      </c>
      <c r="C28" t="inlineStr">
        <is>
          <t>Föryngringsavverkning</t>
        </is>
      </c>
      <c r="D28" s="1" t="n">
        <v>44966</v>
      </c>
      <c r="E28" s="1" t="n">
        <v>46289</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59570-2025</t>
        </is>
      </c>
      <c r="B29" t="inlineStr">
        <is>
          <t>avverkningsanmälan</t>
        </is>
      </c>
      <c r="C29" t="inlineStr">
        <is>
          <t>Föryngringsavverkning</t>
        </is>
      </c>
      <c r="D29" s="1" t="n">
        <v>45991</v>
      </c>
      <c r="E29" s="1" t="n">
        <v>46289</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t="n">
        <v>0</v>
      </c>
      <c r="V29" s="2" t="inlineStr">
        <is>
          <t>Fjällvråk</t>
        </is>
      </c>
      <c r="W29">
        <f>HYPERLINK("https://klasma.github.io/Logging_0136/artfynd/A 59570-2025 artfynd.xlsx", "A 59570-2025")</f>
        <v/>
      </c>
      <c r="X29">
        <f>HYPERLINK("https://klasma.github.io/Logging_0136/kartor/A 59570-2025 karta.png", "A 59570-2025")</f>
        <v/>
      </c>
      <c r="Y29">
        <f>HYPERLINK("https://klasma.github.io/Logging_0136/kartor_geotiff/A 59570-2025 georefererad karta.tif", "A 59570-2025")</f>
        <v/>
      </c>
      <c r="AA29">
        <f>HYPERLINK("https://klasma.github.io/Logging_0136/klagomål/A 59570-2025 FSC-klagomål.docx", "A 59570-2025")</f>
        <v/>
      </c>
      <c r="AB29">
        <f>HYPERLINK("https://klasma.github.io/Logging_0136/klagomålsmail/A 59570-2025 FSC-klagomål mail.docx", "A 59570-2025")</f>
        <v/>
      </c>
      <c r="AC29">
        <f>HYPERLINK("https://klasma.github.io/Logging_0136/tillsyn/A 59570-2025 tillsynsbegäran.docx", "A 59570-2025")</f>
        <v/>
      </c>
      <c r="AD29">
        <f>HYPERLINK("https://klasma.github.io/Logging_0136/tillsynsmail/A 59570-2025 tillsynsbegäran mail.docx", "A 59570-2025")</f>
        <v/>
      </c>
      <c r="AE29">
        <f>HYPERLINK("https://klasma.github.io/Logging_0136/fåglar/A 59570-2025 prioriterade fågelarter.docx", "A 59570-2025")</f>
        <v/>
      </c>
    </row>
    <row r="30" ht="15" customHeight="1">
      <c r="A30" t="inlineStr">
        <is>
          <t>A 32479-2026</t>
        </is>
      </c>
      <c r="B30" t="inlineStr">
        <is>
          <t>avverkningsanmälan</t>
        </is>
      </c>
      <c r="C30" t="inlineStr">
        <is>
          <t>Föryngringsavverkning</t>
        </is>
      </c>
      <c r="D30" s="1" t="n">
        <v>46239</v>
      </c>
      <c r="E30" s="1" t="n">
        <v>46289</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46289</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46289</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45501-2022</t>
        </is>
      </c>
      <c r="B33" t="inlineStr">
        <is>
          <t>avverkningsanmälan</t>
        </is>
      </c>
      <c r="C33" t="inlineStr">
        <is>
          <t>Föryngringsavverkning</t>
        </is>
      </c>
      <c r="D33" s="1" t="n">
        <v>44845</v>
      </c>
      <c r="E33" s="1" t="n">
        <v>46289</v>
      </c>
      <c r="F33" t="inlineStr">
        <is>
          <t>STOCKHOLMS LÄN</t>
        </is>
      </c>
      <c r="G33" t="inlineStr">
        <is>
          <t>HANINGE</t>
        </is>
      </c>
      <c r="I33" t="n">
        <v>2.7</v>
      </c>
      <c r="J33" t="n">
        <v>0</v>
      </c>
      <c r="K33" t="n">
        <v>0</v>
      </c>
      <c r="L33" t="n">
        <v>0</v>
      </c>
      <c r="M33" t="n">
        <v>0</v>
      </c>
      <c r="N33" t="n">
        <v>0</v>
      </c>
      <c r="O33" t="n">
        <v>0</v>
      </c>
      <c r="P33" t="n">
        <v>0</v>
      </c>
      <c r="Q33" t="n">
        <v>0</v>
      </c>
      <c r="R33" t="n">
        <v>0</v>
      </c>
      <c r="S33" t="n">
        <v>0</v>
      </c>
      <c r="T33" t="n">
        <v>0</v>
      </c>
      <c r="U33" t="n">
        <v>0</v>
      </c>
      <c r="V33" s="2" t="inlineStr"/>
    </row>
    <row r="34" ht="15" customHeight="1">
      <c r="A34" t="inlineStr">
        <is>
          <t>A 45498-2022</t>
        </is>
      </c>
      <c r="B34" t="inlineStr">
        <is>
          <t>avverkningsanmälan</t>
        </is>
      </c>
      <c r="C34" t="inlineStr">
        <is>
          <t>Föryngringsavverkning</t>
        </is>
      </c>
      <c r="D34" s="1" t="n">
        <v>44845</v>
      </c>
      <c r="E34" s="1" t="n">
        <v>46289</v>
      </c>
      <c r="F34" t="inlineStr">
        <is>
          <t>STOCKHOLMS LÄN</t>
        </is>
      </c>
      <c r="G34" t="inlineStr">
        <is>
          <t>HANINGE</t>
        </is>
      </c>
      <c r="I34" t="n">
        <v>2.1</v>
      </c>
      <c r="J34" t="n">
        <v>0</v>
      </c>
      <c r="K34" t="n">
        <v>0</v>
      </c>
      <c r="L34" t="n">
        <v>0</v>
      </c>
      <c r="M34" t="n">
        <v>0</v>
      </c>
      <c r="N34" t="n">
        <v>0</v>
      </c>
      <c r="O34" t="n">
        <v>0</v>
      </c>
      <c r="P34" t="n">
        <v>0</v>
      </c>
      <c r="Q34" t="n">
        <v>0</v>
      </c>
      <c r="R34" t="n">
        <v>0</v>
      </c>
      <c r="S34" t="n">
        <v>0</v>
      </c>
      <c r="T34" t="n">
        <v>0</v>
      </c>
      <c r="U34" t="n">
        <v>0</v>
      </c>
      <c r="V34" s="2" t="inlineStr"/>
    </row>
    <row r="35" ht="15" customHeight="1">
      <c r="A35" t="inlineStr">
        <is>
          <t>A 55853-2021</t>
        </is>
      </c>
      <c r="B35" t="inlineStr">
        <is>
          <t>avverkningsanmälan</t>
        </is>
      </c>
      <c r="C35" t="inlineStr">
        <is>
          <t>Föryngringsavverkning</t>
        </is>
      </c>
      <c r="D35" s="1" t="n">
        <v>44476</v>
      </c>
      <c r="E35" s="1" t="n">
        <v>46289</v>
      </c>
      <c r="F35" t="inlineStr">
        <is>
          <t>STOCKHOLMS LÄN</t>
        </is>
      </c>
      <c r="G35" t="inlineStr">
        <is>
          <t>HANINGE</t>
        </is>
      </c>
      <c r="H35" t="inlineStr">
        <is>
          <t>Kommuner</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19652-2022</t>
        </is>
      </c>
      <c r="B36" t="inlineStr">
        <is>
          <t>avverkningsanmälan</t>
        </is>
      </c>
      <c r="C36" t="inlineStr">
        <is>
          <t>Avverkning för annat ändamål</t>
        </is>
      </c>
      <c r="D36" s="1" t="n">
        <v>44694</v>
      </c>
      <c r="E36" s="1" t="n">
        <v>46289</v>
      </c>
      <c r="F36" t="inlineStr">
        <is>
          <t>STOCKHOLMS LÄN</t>
        </is>
      </c>
      <c r="G36" t="inlineStr">
        <is>
          <t>HANINGE</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55861-2021</t>
        </is>
      </c>
      <c r="B37" t="inlineStr">
        <is>
          <t>avverkningsanmälan</t>
        </is>
      </c>
      <c r="C37" t="inlineStr">
        <is>
          <t>Föryngringsavverkning</t>
        </is>
      </c>
      <c r="D37" s="1" t="n">
        <v>44476</v>
      </c>
      <c r="E37" s="1" t="n">
        <v>46289</v>
      </c>
      <c r="F37" t="inlineStr">
        <is>
          <t>STOCKHOLMS LÄN</t>
        </is>
      </c>
      <c r="G37" t="inlineStr">
        <is>
          <t>HANINGE</t>
        </is>
      </c>
      <c r="H37" t="inlineStr">
        <is>
          <t>Kommuner</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41266-2022</t>
        </is>
      </c>
      <c r="B38" t="inlineStr">
        <is>
          <t>avverkningsanmälan</t>
        </is>
      </c>
      <c r="C38" t="inlineStr">
        <is>
          <t>Föryngringsavverkning</t>
        </is>
      </c>
      <c r="D38" s="1" t="n">
        <v>44825</v>
      </c>
      <c r="E38" s="1" t="n">
        <v>46289</v>
      </c>
      <c r="F38" t="inlineStr">
        <is>
          <t>STOCKHOLMS LÄN</t>
        </is>
      </c>
      <c r="G38" t="inlineStr">
        <is>
          <t>HANINGE</t>
        </is>
      </c>
      <c r="H38" t="inlineStr">
        <is>
          <t>Övriga statliga verk och myndigheter</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13135-2022</t>
        </is>
      </c>
      <c r="B39" t="inlineStr">
        <is>
          <t>avverkningsanmälan</t>
        </is>
      </c>
      <c r="C39" t="inlineStr">
        <is>
          <t>Föryngringsavverkning</t>
        </is>
      </c>
      <c r="D39" s="1" t="n">
        <v>44643</v>
      </c>
      <c r="E39" s="1" t="n">
        <v>46289</v>
      </c>
      <c r="F39" t="inlineStr">
        <is>
          <t>STOCKHOLMS LÄN</t>
        </is>
      </c>
      <c r="G39" t="inlineStr">
        <is>
          <t>HANINGE</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30419-2022</t>
        </is>
      </c>
      <c r="B40" t="inlineStr">
        <is>
          <t>avverkningsanmälan</t>
        </is>
      </c>
      <c r="C40" t="inlineStr">
        <is>
          <t>Föryngringsavverkning</t>
        </is>
      </c>
      <c r="D40" s="1" t="n">
        <v>44761</v>
      </c>
      <c r="E40" s="1" t="n">
        <v>46289</v>
      </c>
      <c r="F40" t="inlineStr">
        <is>
          <t>STOCKHOLMS LÄN</t>
        </is>
      </c>
      <c r="G40" t="inlineStr">
        <is>
          <t>HANINGE</t>
        </is>
      </c>
      <c r="I40" t="n">
        <v>7.4</v>
      </c>
      <c r="J40" t="n">
        <v>0</v>
      </c>
      <c r="K40" t="n">
        <v>0</v>
      </c>
      <c r="L40" t="n">
        <v>0</v>
      </c>
      <c r="M40" t="n">
        <v>0</v>
      </c>
      <c r="N40" t="n">
        <v>0</v>
      </c>
      <c r="O40" t="n">
        <v>0</v>
      </c>
      <c r="P40" t="n">
        <v>0</v>
      </c>
      <c r="Q40" t="n">
        <v>0</v>
      </c>
      <c r="R40" t="n">
        <v>0</v>
      </c>
      <c r="S40" t="n">
        <v>0</v>
      </c>
      <c r="T40" t="n">
        <v>0</v>
      </c>
      <c r="U40" t="n">
        <v>0</v>
      </c>
      <c r="V40" s="2" t="inlineStr"/>
    </row>
    <row r="41" ht="15" customHeight="1">
      <c r="A41" t="inlineStr">
        <is>
          <t>A 37000-2022</t>
        </is>
      </c>
      <c r="B41" t="inlineStr">
        <is>
          <t>avverkningsanmälan</t>
        </is>
      </c>
      <c r="C41" t="inlineStr">
        <is>
          <t>Föryngringsavverkning</t>
        </is>
      </c>
      <c r="D41" s="1" t="n">
        <v>44806</v>
      </c>
      <c r="E41" s="1" t="n">
        <v>46289</v>
      </c>
      <c r="F41" t="inlineStr">
        <is>
          <t>STOCKHOLMS LÄN</t>
        </is>
      </c>
      <c r="G41" t="inlineStr">
        <is>
          <t>HANINGE</t>
        </is>
      </c>
      <c r="H41" t="inlineStr">
        <is>
          <t>Övriga statliga verk och myndigheter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3156-2025</t>
        </is>
      </c>
      <c r="B42" t="inlineStr">
        <is>
          <t>avverkningsanmälan</t>
        </is>
      </c>
      <c r="C42" t="inlineStr">
        <is>
          <t>Föryngringsavverkning</t>
        </is>
      </c>
      <c r="D42" s="1" t="n">
        <v>45679</v>
      </c>
      <c r="E42" s="1" t="n">
        <v>46289</v>
      </c>
      <c r="F42" t="inlineStr">
        <is>
          <t>STOCKHOLMS LÄN</t>
        </is>
      </c>
      <c r="G42" t="inlineStr">
        <is>
          <t>HANINGE</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50306-2023</t>
        </is>
      </c>
      <c r="B43" t="inlineStr">
        <is>
          <t>avverkningsanmälan</t>
        </is>
      </c>
      <c r="C43" t="inlineStr">
        <is>
          <t>Föryngringsavverkning</t>
        </is>
      </c>
      <c r="D43" s="1" t="n">
        <v>45209</v>
      </c>
      <c r="E43" s="1" t="n">
        <v>46289</v>
      </c>
      <c r="F43" t="inlineStr">
        <is>
          <t>STOCKHOLMS LÄN</t>
        </is>
      </c>
      <c r="G43" t="inlineStr">
        <is>
          <t>HANINGE</t>
        </is>
      </c>
      <c r="I43" t="n">
        <v>2.3</v>
      </c>
      <c r="J43" t="n">
        <v>0</v>
      </c>
      <c r="K43" t="n">
        <v>0</v>
      </c>
      <c r="L43" t="n">
        <v>0</v>
      </c>
      <c r="M43" t="n">
        <v>0</v>
      </c>
      <c r="N43" t="n">
        <v>0</v>
      </c>
      <c r="O43" t="n">
        <v>0</v>
      </c>
      <c r="P43" t="n">
        <v>0</v>
      </c>
      <c r="Q43" t="n">
        <v>0</v>
      </c>
      <c r="R43" t="n">
        <v>0</v>
      </c>
      <c r="S43" t="n">
        <v>0</v>
      </c>
      <c r="T43" t="n">
        <v>0</v>
      </c>
      <c r="U43" t="n">
        <v>0</v>
      </c>
      <c r="V43" s="2" t="inlineStr"/>
      <c r="Z43">
        <f>HYPERLINK("https://klasma.github.io/Logging_0136/knärot/A 50306-2023 karta knärot.png", "A 50306-2023")</f>
        <v/>
      </c>
      <c r="AA43">
        <f>HYPERLINK("https://klasma.github.io/Logging_0136/klagomål/A 50306-2023 FSC-klagomål.docx", "A 50306-2023")</f>
        <v/>
      </c>
      <c r="AB43">
        <f>HYPERLINK("https://klasma.github.io/Logging_0136/klagomålsmail/A 50306-2023 FSC-klagomål mail.docx", "A 50306-2023")</f>
        <v/>
      </c>
      <c r="AC43">
        <f>HYPERLINK("https://klasma.github.io/Logging_0136/tillsyn/A 50306-2023 tillsynsbegäran.docx", "A 50306-2023")</f>
        <v/>
      </c>
      <c r="AD43">
        <f>HYPERLINK("https://klasma.github.io/Logging_0136/tillsynsmail/A 50306-2023 tillsynsbegäran mail.docx", "A 50306-2023")</f>
        <v/>
      </c>
    </row>
    <row r="44" ht="15" customHeight="1">
      <c r="A44" t="inlineStr">
        <is>
          <t>A 22288-2023</t>
        </is>
      </c>
      <c r="B44" t="inlineStr">
        <is>
          <t>avverkningsanmälan</t>
        </is>
      </c>
      <c r="C44" t="inlineStr">
        <is>
          <t>Föryngringsavverkning</t>
        </is>
      </c>
      <c r="D44" s="1" t="n">
        <v>45070</v>
      </c>
      <c r="E44" s="1" t="n">
        <v>46289</v>
      </c>
      <c r="F44" t="inlineStr">
        <is>
          <t>STOCKHOLMS LÄN</t>
        </is>
      </c>
      <c r="G44" t="inlineStr">
        <is>
          <t>HANINGE</t>
        </is>
      </c>
      <c r="I44" t="n">
        <v>2.8</v>
      </c>
      <c r="J44" t="n">
        <v>0</v>
      </c>
      <c r="K44" t="n">
        <v>0</v>
      </c>
      <c r="L44" t="n">
        <v>0</v>
      </c>
      <c r="M44" t="n">
        <v>0</v>
      </c>
      <c r="N44" t="n">
        <v>0</v>
      </c>
      <c r="O44" t="n">
        <v>0</v>
      </c>
      <c r="P44" t="n">
        <v>0</v>
      </c>
      <c r="Q44" t="n">
        <v>0</v>
      </c>
      <c r="R44" t="n">
        <v>0</v>
      </c>
      <c r="S44" t="n">
        <v>0</v>
      </c>
      <c r="T44" t="n">
        <v>0</v>
      </c>
      <c r="U44" t="n">
        <v>0</v>
      </c>
      <c r="V44" s="2" t="inlineStr"/>
    </row>
    <row r="45" ht="15" customHeight="1">
      <c r="A45" t="inlineStr">
        <is>
          <t>A 33792-2023</t>
        </is>
      </c>
      <c r="B45" t="inlineStr">
        <is>
          <t>avverkningsanmälan</t>
        </is>
      </c>
      <c r="C45" t="inlineStr">
        <is>
          <t>Föryngringsavverkning</t>
        </is>
      </c>
      <c r="D45" s="1" t="n">
        <v>45121</v>
      </c>
      <c r="E45" s="1" t="n">
        <v>46289</v>
      </c>
      <c r="F45" t="inlineStr">
        <is>
          <t>STOCKHOLMS LÄN</t>
        </is>
      </c>
      <c r="G45" t="inlineStr">
        <is>
          <t>HANINGE</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20839-2024</t>
        </is>
      </c>
      <c r="B46" t="inlineStr">
        <is>
          <t>avverkningsanmälan</t>
        </is>
      </c>
      <c r="C46" t="inlineStr">
        <is>
          <t>Föryngringsavverkning</t>
        </is>
      </c>
      <c r="D46" s="1" t="n">
        <v>45439</v>
      </c>
      <c r="E46" s="1" t="n">
        <v>46289</v>
      </c>
      <c r="F46" t="inlineStr">
        <is>
          <t>STOCKHOLMS LÄN</t>
        </is>
      </c>
      <c r="G46" t="inlineStr">
        <is>
          <t>HANINGE</t>
        </is>
      </c>
      <c r="I46" t="n">
        <v>8.4</v>
      </c>
      <c r="J46" t="n">
        <v>0</v>
      </c>
      <c r="K46" t="n">
        <v>0</v>
      </c>
      <c r="L46" t="n">
        <v>0</v>
      </c>
      <c r="M46" t="n">
        <v>0</v>
      </c>
      <c r="N46" t="n">
        <v>0</v>
      </c>
      <c r="O46" t="n">
        <v>0</v>
      </c>
      <c r="P46" t="n">
        <v>0</v>
      </c>
      <c r="Q46" t="n">
        <v>0</v>
      </c>
      <c r="R46" t="n">
        <v>0</v>
      </c>
      <c r="S46" t="n">
        <v>0</v>
      </c>
      <c r="T46" t="n">
        <v>0</v>
      </c>
      <c r="U46" t="n">
        <v>0</v>
      </c>
      <c r="V46" s="2" t="inlineStr"/>
    </row>
    <row r="47" ht="15" customHeight="1">
      <c r="A47" t="inlineStr">
        <is>
          <t>A 18491-2025</t>
        </is>
      </c>
      <c r="B47" t="inlineStr">
        <is>
          <t>avverkningsanmälan</t>
        </is>
      </c>
      <c r="C47" t="inlineStr">
        <is>
          <t>Föryngringsavverkning</t>
        </is>
      </c>
      <c r="D47" s="1" t="n">
        <v>45763</v>
      </c>
      <c r="E47" s="1" t="n">
        <v>46289</v>
      </c>
      <c r="F47" t="inlineStr">
        <is>
          <t>STOCKHOLMS LÄN</t>
        </is>
      </c>
      <c r="G47" t="inlineStr">
        <is>
          <t>HANINGE</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24193-2025</t>
        </is>
      </c>
      <c r="B48" t="inlineStr">
        <is>
          <t>avverkningsanmälan</t>
        </is>
      </c>
      <c r="C48" t="inlineStr">
        <is>
          <t>Föryngringsavverkning</t>
        </is>
      </c>
      <c r="D48" s="1" t="n">
        <v>45796</v>
      </c>
      <c r="E48" s="1" t="n">
        <v>46289</v>
      </c>
      <c r="F48" t="inlineStr">
        <is>
          <t>STOCKHOLMS LÄN</t>
        </is>
      </c>
      <c r="G48" t="inlineStr">
        <is>
          <t>HANINGE</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64075-2023</t>
        </is>
      </c>
      <c r="B49" t="inlineStr">
        <is>
          <t>avverkningsanmälan</t>
        </is>
      </c>
      <c r="C49" t="inlineStr">
        <is>
          <t>Föryngringsavverkning</t>
        </is>
      </c>
      <c r="D49" s="1" t="n">
        <v>45279</v>
      </c>
      <c r="E49" s="1" t="n">
        <v>46289</v>
      </c>
      <c r="F49" t="inlineStr">
        <is>
          <t>STOCKHOLMS LÄN</t>
        </is>
      </c>
      <c r="G49" t="inlineStr">
        <is>
          <t>HANINGE</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18512-2024</t>
        </is>
      </c>
      <c r="B50" t="inlineStr">
        <is>
          <t>avverkningsanmälan</t>
        </is>
      </c>
      <c r="C50" t="inlineStr">
        <is>
          <t>Föryngringsavverkning</t>
        </is>
      </c>
      <c r="D50" s="1" t="n">
        <v>45425</v>
      </c>
      <c r="E50" s="1" t="n">
        <v>46289</v>
      </c>
      <c r="F50" t="inlineStr">
        <is>
          <t>STOCKHOLMS LÄN</t>
        </is>
      </c>
      <c r="G50" t="inlineStr">
        <is>
          <t>HANINGE</t>
        </is>
      </c>
      <c r="H50" t="inlineStr">
        <is>
          <t>Kommuner</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68896-2021</t>
        </is>
      </c>
      <c r="B51" t="inlineStr">
        <is>
          <t>avverkningsanmälan</t>
        </is>
      </c>
      <c r="C51" t="inlineStr">
        <is>
          <t>Föryngringsavverkning</t>
        </is>
      </c>
      <c r="D51" s="1" t="n">
        <v>44526</v>
      </c>
      <c r="E51" s="1" t="n">
        <v>46289</v>
      </c>
      <c r="F51" t="inlineStr">
        <is>
          <t>STOCKHOLMS LÄN</t>
        </is>
      </c>
      <c r="G51" t="inlineStr">
        <is>
          <t>HANINGE</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4297-2024</t>
        </is>
      </c>
      <c r="B52" t="inlineStr">
        <is>
          <t>avverkningsanmälan</t>
        </is>
      </c>
      <c r="C52" t="inlineStr">
        <is>
          <t>Föryngringsavverkning</t>
        </is>
      </c>
      <c r="D52" s="1" t="n">
        <v>45324</v>
      </c>
      <c r="E52" s="1" t="n">
        <v>46289</v>
      </c>
      <c r="F52" t="inlineStr">
        <is>
          <t>STOCKHOLMS LÄN</t>
        </is>
      </c>
      <c r="G52" t="inlineStr">
        <is>
          <t>HANINGE</t>
        </is>
      </c>
      <c r="H52" t="inlineStr">
        <is>
          <t>Kommuner</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17765-2024</t>
        </is>
      </c>
      <c r="B53" t="inlineStr">
        <is>
          <t>avverkningsanmälan</t>
        </is>
      </c>
      <c r="C53" t="inlineStr">
        <is>
          <t>Föryngringsavverkning</t>
        </is>
      </c>
      <c r="D53" s="1" t="n">
        <v>45418</v>
      </c>
      <c r="E53" s="1" t="n">
        <v>46289</v>
      </c>
      <c r="F53" t="inlineStr">
        <is>
          <t>STOCKHOLMS LÄN</t>
        </is>
      </c>
      <c r="G53" t="inlineStr">
        <is>
          <t>HANINGE</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27596-2025</t>
        </is>
      </c>
      <c r="B54" t="inlineStr">
        <is>
          <t>avverkningsanmälan</t>
        </is>
      </c>
      <c r="C54" t="inlineStr">
        <is>
          <t>Avverkning för att bevara och utveckla /försöksver</t>
        </is>
      </c>
      <c r="D54" s="1" t="n">
        <v>45813</v>
      </c>
      <c r="E54" s="1" t="n">
        <v>46289</v>
      </c>
      <c r="F54" t="inlineStr">
        <is>
          <t>STOCKHOLMS LÄN</t>
        </is>
      </c>
      <c r="G54" t="inlineStr">
        <is>
          <t>HANINGE</t>
        </is>
      </c>
      <c r="I54" t="n">
        <v>0.1</v>
      </c>
      <c r="J54" t="n">
        <v>0</v>
      </c>
      <c r="K54" t="n">
        <v>0</v>
      </c>
      <c r="L54" t="n">
        <v>0</v>
      </c>
      <c r="M54" t="n">
        <v>0</v>
      </c>
      <c r="N54" t="n">
        <v>0</v>
      </c>
      <c r="O54" t="n">
        <v>0</v>
      </c>
      <c r="P54" t="n">
        <v>0</v>
      </c>
      <c r="Q54" t="n">
        <v>0</v>
      </c>
      <c r="R54" t="n">
        <v>0</v>
      </c>
      <c r="S54" t="n">
        <v>0</v>
      </c>
      <c r="T54" t="n">
        <v>0</v>
      </c>
      <c r="U54" t="n">
        <v>0</v>
      </c>
      <c r="V54" s="2" t="inlineStr"/>
    </row>
    <row r="55" ht="15" customHeight="1">
      <c r="A55" t="inlineStr">
        <is>
          <t>A 25584-2023</t>
        </is>
      </c>
      <c r="B55" t="inlineStr">
        <is>
          <t>avverkningsanmälan</t>
        </is>
      </c>
      <c r="C55" t="inlineStr">
        <is>
          <t>Föryngringsavverkning</t>
        </is>
      </c>
      <c r="D55" s="1" t="n">
        <v>45089</v>
      </c>
      <c r="E55" s="1" t="n">
        <v>46289</v>
      </c>
      <c r="F55" t="inlineStr">
        <is>
          <t>STOCKHOLMS LÄN</t>
        </is>
      </c>
      <c r="G55" t="inlineStr">
        <is>
          <t>HANINGE</t>
        </is>
      </c>
      <c r="I55" t="n">
        <v>4.8</v>
      </c>
      <c r="J55" t="n">
        <v>0</v>
      </c>
      <c r="K55" t="n">
        <v>0</v>
      </c>
      <c r="L55" t="n">
        <v>0</v>
      </c>
      <c r="M55" t="n">
        <v>0</v>
      </c>
      <c r="N55" t="n">
        <v>0</v>
      </c>
      <c r="O55" t="n">
        <v>0</v>
      </c>
      <c r="P55" t="n">
        <v>0</v>
      </c>
      <c r="Q55" t="n">
        <v>0</v>
      </c>
      <c r="R55" t="n">
        <v>0</v>
      </c>
      <c r="S55" t="n">
        <v>0</v>
      </c>
      <c r="T55" t="n">
        <v>0</v>
      </c>
      <c r="U55" t="n">
        <v>0</v>
      </c>
      <c r="V55" s="2" t="inlineStr"/>
    </row>
    <row r="56" ht="15" customHeight="1">
      <c r="A56" t="inlineStr">
        <is>
          <t>A 58599-2023</t>
        </is>
      </c>
      <c r="B56" t="inlineStr">
        <is>
          <t>avverkningsanmälan</t>
        </is>
      </c>
      <c r="C56" t="inlineStr">
        <is>
          <t>Föryngringsavverkning</t>
        </is>
      </c>
      <c r="D56" s="1" t="n">
        <v>45251</v>
      </c>
      <c r="E56" s="1" t="n">
        <v>46289</v>
      </c>
      <c r="F56" t="inlineStr">
        <is>
          <t>STOCKHOLMS LÄN</t>
        </is>
      </c>
      <c r="G56" t="inlineStr">
        <is>
          <t>HANINGE</t>
        </is>
      </c>
      <c r="I56" t="n">
        <v>3.2</v>
      </c>
      <c r="J56" t="n">
        <v>0</v>
      </c>
      <c r="K56" t="n">
        <v>0</v>
      </c>
      <c r="L56" t="n">
        <v>0</v>
      </c>
      <c r="M56" t="n">
        <v>0</v>
      </c>
      <c r="N56" t="n">
        <v>0</v>
      </c>
      <c r="O56" t="n">
        <v>0</v>
      </c>
      <c r="P56" t="n">
        <v>0</v>
      </c>
      <c r="Q56" t="n">
        <v>0</v>
      </c>
      <c r="R56" t="n">
        <v>0</v>
      </c>
      <c r="S56" t="n">
        <v>0</v>
      </c>
      <c r="T56" t="n">
        <v>0</v>
      </c>
      <c r="U56" t="n">
        <v>0</v>
      </c>
      <c r="V56" s="2" t="inlineStr"/>
    </row>
    <row r="57" ht="15" customHeight="1">
      <c r="A57" t="inlineStr">
        <is>
          <t>A 18528-2024</t>
        </is>
      </c>
      <c r="B57" t="inlineStr">
        <is>
          <t>avverkningsanmälan</t>
        </is>
      </c>
      <c r="C57" t="inlineStr">
        <is>
          <t>Föryngringsavverkning</t>
        </is>
      </c>
      <c r="D57" s="1" t="n">
        <v>45425</v>
      </c>
      <c r="E57" s="1" t="n">
        <v>46289</v>
      </c>
      <c r="F57" t="inlineStr">
        <is>
          <t>STOCKHOLMS LÄN</t>
        </is>
      </c>
      <c r="G57" t="inlineStr">
        <is>
          <t>HANINGE</t>
        </is>
      </c>
      <c r="H57" t="inlineStr">
        <is>
          <t>Kommuner</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20527-2025</t>
        </is>
      </c>
      <c r="B58" t="inlineStr">
        <is>
          <t>avverkningsanmälan</t>
        </is>
      </c>
      <c r="C58" t="inlineStr">
        <is>
          <t>Föryngringsavverkning</t>
        </is>
      </c>
      <c r="D58" s="1" t="n">
        <v>45775</v>
      </c>
      <c r="E58" s="1" t="n">
        <v>46289</v>
      </c>
      <c r="F58" t="inlineStr">
        <is>
          <t>STOCKHOLMS LÄN</t>
        </is>
      </c>
      <c r="G58" t="inlineStr">
        <is>
          <t>HANINGE</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59569-2025</t>
        </is>
      </c>
      <c r="B59" t="inlineStr">
        <is>
          <t>avverkningsanmälan</t>
        </is>
      </c>
      <c r="C59" t="inlineStr">
        <is>
          <t>Föryngringsavverkning</t>
        </is>
      </c>
      <c r="D59" s="1" t="n">
        <v>45991</v>
      </c>
      <c r="E59" s="1" t="n">
        <v>46289</v>
      </c>
      <c r="F59" t="inlineStr">
        <is>
          <t>STOCKHOLMS LÄN</t>
        </is>
      </c>
      <c r="G59" t="inlineStr">
        <is>
          <t>HANINGE</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1180-2024</t>
        </is>
      </c>
      <c r="B60" t="inlineStr">
        <is>
          <t>avverkningsanmälan</t>
        </is>
      </c>
      <c r="C60" t="inlineStr">
        <is>
          <t>Föryngringsavverkning</t>
        </is>
      </c>
      <c r="D60" s="1" t="n">
        <v>45302</v>
      </c>
      <c r="E60" s="1" t="n">
        <v>46289</v>
      </c>
      <c r="F60" t="inlineStr">
        <is>
          <t>STOCKHOLMS LÄN</t>
        </is>
      </c>
      <c r="G60" t="inlineStr">
        <is>
          <t>HANINGE</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19220-2023</t>
        </is>
      </c>
      <c r="B61" t="inlineStr">
        <is>
          <t>avverkningsanmälan</t>
        </is>
      </c>
      <c r="C61" t="inlineStr">
        <is>
          <t>Föryngringsavverkning</t>
        </is>
      </c>
      <c r="D61" s="1" t="n">
        <v>45048</v>
      </c>
      <c r="E61" s="1" t="n">
        <v>46289</v>
      </c>
      <c r="F61" t="inlineStr">
        <is>
          <t>STOCKHOLMS LÄN</t>
        </is>
      </c>
      <c r="G61" t="inlineStr">
        <is>
          <t>HANINGE</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18490-2025</t>
        </is>
      </c>
      <c r="B62" t="inlineStr">
        <is>
          <t>avverkningsanmälan</t>
        </is>
      </c>
      <c r="C62" t="inlineStr">
        <is>
          <t>Föryngringsavverkning</t>
        </is>
      </c>
      <c r="D62" s="1" t="n">
        <v>45763</v>
      </c>
      <c r="E62" s="1" t="n">
        <v>46289</v>
      </c>
      <c r="F62" t="inlineStr">
        <is>
          <t>STOCKHOLMS LÄN</t>
        </is>
      </c>
      <c r="G62" t="inlineStr">
        <is>
          <t>HANINGE</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32486-2026</t>
        </is>
      </c>
      <c r="B63" t="inlineStr">
        <is>
          <t>avverkningsanmälan</t>
        </is>
      </c>
      <c r="C63" t="inlineStr">
        <is>
          <t>Föryngringsavverkning</t>
        </is>
      </c>
      <c r="D63" s="1" t="n">
        <v>46239</v>
      </c>
      <c r="E63" s="1" t="n">
        <v>46289</v>
      </c>
      <c r="F63" t="inlineStr">
        <is>
          <t>STOCKHOLMS LÄN</t>
        </is>
      </c>
      <c r="G63" t="inlineStr">
        <is>
          <t>HANINGE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64568-2023</t>
        </is>
      </c>
      <c r="B64" t="inlineStr">
        <is>
          <t>avverkningsanmälan</t>
        </is>
      </c>
      <c r="C64" t="inlineStr">
        <is>
          <t>Föryngringsavverkning</t>
        </is>
      </c>
      <c r="D64" s="1" t="n">
        <v>45281</v>
      </c>
      <c r="E64" s="1" t="n">
        <v>46289</v>
      </c>
      <c r="F64" t="inlineStr">
        <is>
          <t>STOCKHOLMS LÄN</t>
        </is>
      </c>
      <c r="G64" t="inlineStr">
        <is>
          <t>HANINGE</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18548-2024</t>
        </is>
      </c>
      <c r="B65" t="inlineStr">
        <is>
          <t>avverkningsanmälan</t>
        </is>
      </c>
      <c r="C65" t="inlineStr">
        <is>
          <t>Föryngringsavverkning</t>
        </is>
      </c>
      <c r="D65" s="1" t="n">
        <v>45425</v>
      </c>
      <c r="E65" s="1" t="n">
        <v>46289</v>
      </c>
      <c r="F65" t="inlineStr">
        <is>
          <t>STOCKHOLMS LÄN</t>
        </is>
      </c>
      <c r="G65" t="inlineStr">
        <is>
          <t>HANINGE</t>
        </is>
      </c>
      <c r="H65" t="inlineStr">
        <is>
          <t>Kommuner</t>
        </is>
      </c>
      <c r="I65" t="n">
        <v>7.3</v>
      </c>
      <c r="J65" t="n">
        <v>0</v>
      </c>
      <c r="K65" t="n">
        <v>0</v>
      </c>
      <c r="L65" t="n">
        <v>0</v>
      </c>
      <c r="M65" t="n">
        <v>0</v>
      </c>
      <c r="N65" t="n">
        <v>0</v>
      </c>
      <c r="O65" t="n">
        <v>0</v>
      </c>
      <c r="P65" t="n">
        <v>0</v>
      </c>
      <c r="Q65" t="n">
        <v>0</v>
      </c>
      <c r="R65" t="n">
        <v>0</v>
      </c>
      <c r="S65" t="n">
        <v>0</v>
      </c>
      <c r="T65" t="n">
        <v>0</v>
      </c>
      <c r="U65" t="n">
        <v>0</v>
      </c>
      <c r="V65" s="2" t="inlineStr"/>
    </row>
    <row r="66" ht="15" customHeight="1">
      <c r="A66" t="inlineStr">
        <is>
          <t>A 68894-2021</t>
        </is>
      </c>
      <c r="B66" t="inlineStr">
        <is>
          <t>avverkningsanmälan</t>
        </is>
      </c>
      <c r="C66" t="inlineStr">
        <is>
          <t>Föryngringsavverkning</t>
        </is>
      </c>
      <c r="D66" s="1" t="n">
        <v>44526</v>
      </c>
      <c r="E66" s="1" t="n">
        <v>46289</v>
      </c>
      <c r="F66" t="inlineStr">
        <is>
          <t>STOCKHOLMS LÄN</t>
        </is>
      </c>
      <c r="G66" t="inlineStr">
        <is>
          <t>HANINGE</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12787-2026</t>
        </is>
      </c>
      <c r="B67" t="inlineStr">
        <is>
          <t>avverkningsanmälan</t>
        </is>
      </c>
      <c r="C67" t="inlineStr">
        <is>
          <t>Föryngringsavverkning</t>
        </is>
      </c>
      <c r="D67" s="1" t="n">
        <v>46091</v>
      </c>
      <c r="E67" s="1" t="n">
        <v>46289</v>
      </c>
      <c r="F67" t="inlineStr">
        <is>
          <t>STOCKHOLMS LÄN</t>
        </is>
      </c>
      <c r="G67" t="inlineStr">
        <is>
          <t>HANINGE</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13046-2022</t>
        </is>
      </c>
      <c r="B68" t="inlineStr">
        <is>
          <t>avverkningsanmälan</t>
        </is>
      </c>
      <c r="C68" t="inlineStr">
        <is>
          <t>Föryngringsavverkning</t>
        </is>
      </c>
      <c r="D68" s="1" t="n">
        <v>44643</v>
      </c>
      <c r="E68" s="1" t="n">
        <v>46289</v>
      </c>
      <c r="F68" t="inlineStr">
        <is>
          <t>STOCKHOLMS LÄN</t>
        </is>
      </c>
      <c r="G68" t="inlineStr">
        <is>
          <t>HANINGE</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14264-2025</t>
        </is>
      </c>
      <c r="B69" t="inlineStr">
        <is>
          <t>avverkningsanmälan</t>
        </is>
      </c>
      <c r="C69" t="inlineStr">
        <is>
          <t>Föryngringsavverkning</t>
        </is>
      </c>
      <c r="D69" s="1" t="n">
        <v>45740</v>
      </c>
      <c r="E69" s="1" t="n">
        <v>46289</v>
      </c>
      <c r="F69" t="inlineStr">
        <is>
          <t>STOCKHOLMS LÄN</t>
        </is>
      </c>
      <c r="G69" t="inlineStr">
        <is>
          <t>HANINGE</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8078-2024</t>
        </is>
      </c>
      <c r="B70" t="inlineStr">
        <is>
          <t>avverkningsanmälan</t>
        </is>
      </c>
      <c r="C70" t="inlineStr">
        <is>
          <t>Föryngringsavverkning</t>
        </is>
      </c>
      <c r="D70" s="1" t="n">
        <v>45351</v>
      </c>
      <c r="E70" s="1" t="n">
        <v>46289</v>
      </c>
      <c r="F70" t="inlineStr">
        <is>
          <t>STOCKHOLMS LÄN</t>
        </is>
      </c>
      <c r="G70" t="inlineStr">
        <is>
          <t>HANINGE</t>
        </is>
      </c>
      <c r="H70" t="inlineStr">
        <is>
          <t>Kommuner</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24873-2023</t>
        </is>
      </c>
      <c r="B71" t="inlineStr">
        <is>
          <t>avverkningsanmälan</t>
        </is>
      </c>
      <c r="C71" t="inlineStr">
        <is>
          <t>Föryngringsavverkning</t>
        </is>
      </c>
      <c r="D71" s="1" t="n">
        <v>45085</v>
      </c>
      <c r="E71" s="1" t="n">
        <v>46289</v>
      </c>
      <c r="F71" t="inlineStr">
        <is>
          <t>STOCKHOLMS LÄN</t>
        </is>
      </c>
      <c r="G71" t="inlineStr">
        <is>
          <t>HANINGE</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23666-2024</t>
        </is>
      </c>
      <c r="B72" t="inlineStr">
        <is>
          <t>avverkningsanmälan</t>
        </is>
      </c>
      <c r="C72" t="inlineStr">
        <is>
          <t>Föryngringsavverkning</t>
        </is>
      </c>
      <c r="D72" s="1" t="n">
        <v>45454</v>
      </c>
      <c r="E72" s="1" t="n">
        <v>46289</v>
      </c>
      <c r="F72" t="inlineStr">
        <is>
          <t>STOCKHOLMS LÄN</t>
        </is>
      </c>
      <c r="G72" t="inlineStr">
        <is>
          <t>HANINGE</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9946-2024</t>
        </is>
      </c>
      <c r="B73" t="inlineStr">
        <is>
          <t>avverkningsanmälan</t>
        </is>
      </c>
      <c r="C73" t="inlineStr">
        <is>
          <t>Föryngringsavverkning</t>
        </is>
      </c>
      <c r="D73" s="1" t="n">
        <v>45363</v>
      </c>
      <c r="E73" s="1" t="n">
        <v>46289</v>
      </c>
      <c r="F73" t="inlineStr">
        <is>
          <t>STOCKHOLMS LÄN</t>
        </is>
      </c>
      <c r="G73" t="inlineStr">
        <is>
          <t>HANINGE</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48606-2025</t>
        </is>
      </c>
      <c r="B74" t="inlineStr">
        <is>
          <t>avverkningsanmälan</t>
        </is>
      </c>
      <c r="C74" t="inlineStr">
        <is>
          <t>Föryngringsavverkning</t>
        </is>
      </c>
      <c r="D74" s="1" t="n">
        <v>45936</v>
      </c>
      <c r="E74" s="1" t="n">
        <v>46289</v>
      </c>
      <c r="F74" t="inlineStr">
        <is>
          <t>STOCKHOLMS LÄN</t>
        </is>
      </c>
      <c r="G74" t="inlineStr">
        <is>
          <t>HANINGE</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32948-2025</t>
        </is>
      </c>
      <c r="B75" t="inlineStr">
        <is>
          <t>avverkningsanmälan</t>
        </is>
      </c>
      <c r="C75" t="inlineStr">
        <is>
          <t>Föryngringsavverkning</t>
        </is>
      </c>
      <c r="D75" s="1" t="n">
        <v>45839</v>
      </c>
      <c r="E75" s="1" t="n">
        <v>46289</v>
      </c>
      <c r="F75" t="inlineStr">
        <is>
          <t>STOCKHOLMS LÄN</t>
        </is>
      </c>
      <c r="G75" t="inlineStr">
        <is>
          <t>HANINGE</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52836-2024</t>
        </is>
      </c>
      <c r="B76" t="inlineStr">
        <is>
          <t>avverkningsanmälan</t>
        </is>
      </c>
      <c r="C76" t="inlineStr">
        <is>
          <t>Föryngringsavverkning</t>
        </is>
      </c>
      <c r="D76" s="1" t="n">
        <v>45610</v>
      </c>
      <c r="E76" s="1" t="n">
        <v>46289</v>
      </c>
      <c r="F76" t="inlineStr">
        <is>
          <t>STOCKHOLMS LÄN</t>
        </is>
      </c>
      <c r="G76" t="inlineStr">
        <is>
          <t>HANINGE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5474-2024</t>
        </is>
      </c>
      <c r="B77" t="inlineStr">
        <is>
          <t>avverkningsanmälan</t>
        </is>
      </c>
      <c r="C77" t="inlineStr">
        <is>
          <t>Föryngringsavverkning</t>
        </is>
      </c>
      <c r="D77" s="1" t="n">
        <v>45333</v>
      </c>
      <c r="E77" s="1" t="n">
        <v>46289</v>
      </c>
      <c r="F77" t="inlineStr">
        <is>
          <t>STOCKHOLMS LÄN</t>
        </is>
      </c>
      <c r="G77" t="inlineStr">
        <is>
          <t>HANINGE</t>
        </is>
      </c>
      <c r="H77" t="inlineStr">
        <is>
          <t>Kommuner</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52770-2024</t>
        </is>
      </c>
      <c r="B78" t="inlineStr">
        <is>
          <t>avverkningsanmälan</t>
        </is>
      </c>
      <c r="C78" t="inlineStr">
        <is>
          <t>Föryngringsavverkning</t>
        </is>
      </c>
      <c r="D78" s="1" t="n">
        <v>45610</v>
      </c>
      <c r="E78" s="1" t="n">
        <v>46289</v>
      </c>
      <c r="F78" t="inlineStr">
        <is>
          <t>STOCKHOLMS LÄN</t>
        </is>
      </c>
      <c r="G78" t="inlineStr">
        <is>
          <t>HANINGE</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14900-2025</t>
        </is>
      </c>
      <c r="B79" t="inlineStr">
        <is>
          <t>avverkningsanmälan</t>
        </is>
      </c>
      <c r="C79" t="inlineStr">
        <is>
          <t>Föryngringsavverkning</t>
        </is>
      </c>
      <c r="D79" s="1" t="n">
        <v>45743</v>
      </c>
      <c r="E79" s="1" t="n">
        <v>46289</v>
      </c>
      <c r="F79" t="inlineStr">
        <is>
          <t>STOCKHOLMS LÄN</t>
        </is>
      </c>
      <c r="G79" t="inlineStr">
        <is>
          <t>HANINGE</t>
        </is>
      </c>
      <c r="I79" t="n">
        <v>4.5</v>
      </c>
      <c r="J79" t="n">
        <v>0</v>
      </c>
      <c r="K79" t="n">
        <v>0</v>
      </c>
      <c r="L79" t="n">
        <v>0</v>
      </c>
      <c r="M79" t="n">
        <v>0</v>
      </c>
      <c r="N79" t="n">
        <v>0</v>
      </c>
      <c r="O79" t="n">
        <v>0</v>
      </c>
      <c r="P79" t="n">
        <v>0</v>
      </c>
      <c r="Q79" t="n">
        <v>0</v>
      </c>
      <c r="R79" t="n">
        <v>0</v>
      </c>
      <c r="S79" t="n">
        <v>0</v>
      </c>
      <c r="T79" t="n">
        <v>0</v>
      </c>
      <c r="U79" t="n">
        <v>0</v>
      </c>
      <c r="V79" s="2" t="inlineStr"/>
    </row>
    <row r="80" ht="15" customHeight="1">
      <c r="A80" t="inlineStr">
        <is>
          <t>A 24800-2026</t>
        </is>
      </c>
      <c r="B80" t="inlineStr">
        <is>
          <t>avverkningsanmälan</t>
        </is>
      </c>
      <c r="C80" t="inlineStr">
        <is>
          <t>Föryngringsavverkning</t>
        </is>
      </c>
      <c r="D80" s="1" t="n">
        <v>46171</v>
      </c>
      <c r="E80" s="1" t="n">
        <v>46289</v>
      </c>
      <c r="F80" t="inlineStr">
        <is>
          <t>STOCKHOLMS LÄN</t>
        </is>
      </c>
      <c r="G80" t="inlineStr">
        <is>
          <t>HANINGE</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26417-2026</t>
        </is>
      </c>
      <c r="B81" t="inlineStr">
        <is>
          <t>avverkningsanmälan</t>
        </is>
      </c>
      <c r="C81" t="inlineStr">
        <is>
          <t>Föryngringsavverkning</t>
        </is>
      </c>
      <c r="D81" s="1" t="n">
        <v>46183</v>
      </c>
      <c r="E81" s="1" t="n">
        <v>46289</v>
      </c>
      <c r="F81" t="inlineStr">
        <is>
          <t>STOCKHOLMS LÄN</t>
        </is>
      </c>
      <c r="G81" t="inlineStr">
        <is>
          <t>HANINGE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26886-2026</t>
        </is>
      </c>
      <c r="B82" t="inlineStr">
        <is>
          <t>avverkningsanmälan</t>
        </is>
      </c>
      <c r="C82" t="inlineStr">
        <is>
          <t>Avverkning för annat ändamål</t>
        </is>
      </c>
      <c r="D82" s="1" t="n">
        <v>46185</v>
      </c>
      <c r="E82" s="1" t="n">
        <v>46289</v>
      </c>
      <c r="F82" t="inlineStr">
        <is>
          <t>STOCKHOLMS LÄN</t>
        </is>
      </c>
      <c r="G82" t="inlineStr">
        <is>
          <t>HANINGE</t>
        </is>
      </c>
      <c r="I82" t="n">
        <v>0.8</v>
      </c>
      <c r="J82" t="n">
        <v>0</v>
      </c>
      <c r="K82" t="n">
        <v>0</v>
      </c>
      <c r="L82" t="n">
        <v>0</v>
      </c>
      <c r="M82" t="n">
        <v>0</v>
      </c>
      <c r="N82" t="n">
        <v>0</v>
      </c>
      <c r="O82" t="n">
        <v>0</v>
      </c>
      <c r="P82" t="n">
        <v>0</v>
      </c>
      <c r="Q82" t="n">
        <v>0</v>
      </c>
      <c r="R82" t="n">
        <v>0</v>
      </c>
      <c r="S82" t="n">
        <v>0</v>
      </c>
      <c r="T82" t="n">
        <v>0</v>
      </c>
      <c r="U82" t="n">
        <v>0</v>
      </c>
      <c r="V82" s="2" t="inlineStr"/>
    </row>
    <row r="83">
      <c r="A83" t="inlineStr">
        <is>
          <t>S 1718-2026</t>
        </is>
      </c>
      <c r="B83" t="inlineStr">
        <is>
          <t>samrådsanmälan</t>
        </is>
      </c>
      <c r="C83" t="inlineStr">
        <is>
          <t>Annan skogsbruksåtgärd</t>
        </is>
      </c>
      <c r="D83" s="1" t="n">
        <v>46188</v>
      </c>
      <c r="E83" s="1" t="n">
        <v>46289</v>
      </c>
      <c r="F83" t="inlineStr">
        <is>
          <t>STOCKHOLMS LÄN</t>
        </is>
      </c>
      <c r="G83" t="inlineStr">
        <is>
          <t>HANINGE</t>
        </is>
      </c>
      <c r="I83" t="n">
        <v>1.9</v>
      </c>
      <c r="J83" t="n">
        <v>0</v>
      </c>
      <c r="K83" t="n">
        <v>0</v>
      </c>
      <c r="L83" t="n">
        <v>0</v>
      </c>
      <c r="M83" t="n">
        <v>0</v>
      </c>
      <c r="N83" t="n">
        <v>0</v>
      </c>
      <c r="O83" t="n">
        <v>0</v>
      </c>
      <c r="P83" t="n">
        <v>0</v>
      </c>
      <c r="Q83" t="n">
        <v>0</v>
      </c>
      <c r="R83" t="n">
        <v>0</v>
      </c>
      <c r="S83" t="n">
        <v>0</v>
      </c>
      <c r="T83" t="n">
        <v>0</v>
      </c>
      <c r="U83" t="n">
        <v>0</v>
      </c>
      <c r="V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2026-09-24T01:52:38Z</dcterms:created>
  <dcterms:modified xmlns:dcterms="http://purl.org/dc/terms/" xmlns:xsi="http://www.w3.org/2001/XMLSchema-instance" xsi:type="dcterms:W3CDTF">2026-09-24T01:52:38Z</dcterms:modified>
</cp:coreProperties>
</file>