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46242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46242</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46242</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46242</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46242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46242</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46242</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46242</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46242</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46242</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46242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46242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46242</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46242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46242</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46242</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46242</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46242</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46242</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46242</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46242</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46242</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46242</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46242</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37004-2022</t>
        </is>
      </c>
      <c r="B26" t="inlineStr">
        <is>
          <t>avverkningsanmälan</t>
        </is>
      </c>
      <c r="C26" t="inlineStr">
        <is>
          <t>Föryngringsavverkning</t>
        </is>
      </c>
      <c r="D26" s="1" t="n">
        <v>44806</v>
      </c>
      <c r="E26" s="1" t="n">
        <v>46242</v>
      </c>
      <c r="F26" t="inlineStr">
        <is>
          <t>STOCKHOLMS LÄN</t>
        </is>
      </c>
      <c r="G26" t="inlineStr">
        <is>
          <t>HANINGE</t>
        </is>
      </c>
      <c r="H26" t="inlineStr">
        <is>
          <t>Övriga statliga verk och myndigheter</t>
        </is>
      </c>
      <c r="I26" t="n">
        <v>4.4</v>
      </c>
      <c r="J26" t="n">
        <v>1</v>
      </c>
      <c r="K26" t="n">
        <v>1</v>
      </c>
      <c r="L26" t="n">
        <v>0</v>
      </c>
      <c r="M26" t="n">
        <v>0</v>
      </c>
      <c r="N26" t="n">
        <v>0</v>
      </c>
      <c r="O26" t="n">
        <v>0</v>
      </c>
      <c r="P26" t="n">
        <v>0</v>
      </c>
      <c r="Q26" t="n">
        <v>0</v>
      </c>
      <c r="R26" t="n">
        <v>0</v>
      </c>
      <c r="S26" t="n">
        <v>1</v>
      </c>
      <c r="T26" t="n">
        <v>1</v>
      </c>
      <c r="U26" t="n">
        <v>1</v>
      </c>
      <c r="V26" s="2" t="inlineStr">
        <is>
          <t>Skogsknipprot</t>
        </is>
      </c>
      <c r="W26">
        <f>HYPERLINK("https://klasma.github.io/Logging_0136/artfynd/A 37004-2022 artfynd.xlsx", "A 37004-2022")</f>
        <v/>
      </c>
      <c r="X26">
        <f>HYPERLINK("https://klasma.github.io/Logging_0136/kartor/A 37004-2022 karta.png", "A 37004-2022")</f>
        <v/>
      </c>
      <c r="Y26">
        <f>HYPERLINK("https://klasma.github.io/Logging_0136/kartor_geotiff/A 37004-2022 georefererad karta.tif", "A 37004-2022")</f>
        <v/>
      </c>
      <c r="AA26">
        <f>HYPERLINK("https://klasma.github.io/Logging_0136/klagomål/A 37004-2022 FSC-klagomål.docx", "A 37004-2022")</f>
        <v/>
      </c>
      <c r="AB26">
        <f>HYPERLINK("https://klasma.github.io/Logging_0136/klagomålsmail/A 37004-2022 FSC-klagomål mail.docx", "A 37004-2022")</f>
        <v/>
      </c>
      <c r="AC26">
        <f>HYPERLINK("https://klasma.github.io/Logging_0136/tillsyn/A 37004-2022 tillsynsbegäran.docx", "A 37004-2022")</f>
        <v/>
      </c>
      <c r="AD26">
        <f>HYPERLINK("https://klasma.github.io/Logging_0136/tillsynsmail/A 37004-2022 tillsynsbegäran mail.docx", "A 37004-2022")</f>
        <v/>
      </c>
    </row>
    <row r="27" ht="15" customHeight="1">
      <c r="A27" t="inlineStr">
        <is>
          <t>A 59570-2025</t>
        </is>
      </c>
      <c r="B27" t="inlineStr">
        <is>
          <t>avverkningsanmälan</t>
        </is>
      </c>
      <c r="C27" t="inlineStr">
        <is>
          <t>Föryngringsavverkning</t>
        </is>
      </c>
      <c r="D27" s="1" t="n">
        <v>45991</v>
      </c>
      <c r="E27" s="1" t="n">
        <v>46242</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34823-2022</t>
        </is>
      </c>
      <c r="B28" t="inlineStr">
        <is>
          <t>avverkningsanmälan</t>
        </is>
      </c>
      <c r="C28" t="inlineStr">
        <is>
          <t>Föryngringsavverkning</t>
        </is>
      </c>
      <c r="D28" s="1" t="n">
        <v>44796</v>
      </c>
      <c r="E28" s="1" t="n">
        <v>46242</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6648-2023</t>
        </is>
      </c>
      <c r="B29" t="inlineStr">
        <is>
          <t>avverkningsanmälan</t>
        </is>
      </c>
      <c r="C29" t="inlineStr">
        <is>
          <t>Föryngringsavverkning</t>
        </is>
      </c>
      <c r="D29" s="1" t="n">
        <v>44966</v>
      </c>
      <c r="E29" s="1" t="n">
        <v>46242</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46242</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32479-2026</t>
        </is>
      </c>
      <c r="B31" t="inlineStr">
        <is>
          <t>avverkningsanmälan</t>
        </is>
      </c>
      <c r="C31" t="inlineStr">
        <is>
          <t>Föryngringsavverkning</t>
        </is>
      </c>
      <c r="D31" s="1" t="n">
        <v>46239</v>
      </c>
      <c r="E31" s="1" t="n">
        <v>46242</v>
      </c>
      <c r="F31" t="inlineStr">
        <is>
          <t>STOCKHOLMS LÄN</t>
        </is>
      </c>
      <c r="G31" t="inlineStr">
        <is>
          <t>HANINGE</t>
        </is>
      </c>
      <c r="I31" t="n">
        <v>6.9</v>
      </c>
      <c r="J31" t="n">
        <v>0</v>
      </c>
      <c r="K31" t="n">
        <v>1</v>
      </c>
      <c r="L31" t="n">
        <v>0</v>
      </c>
      <c r="M31" t="n">
        <v>0</v>
      </c>
      <c r="N31" t="n">
        <v>0</v>
      </c>
      <c r="O31" t="n">
        <v>0</v>
      </c>
      <c r="P31" t="n">
        <v>0</v>
      </c>
      <c r="Q31" t="n">
        <v>0</v>
      </c>
      <c r="R31" t="n">
        <v>0</v>
      </c>
      <c r="S31" t="n">
        <v>1</v>
      </c>
      <c r="T31" t="n">
        <v>1</v>
      </c>
      <c r="U31" t="n">
        <v>0</v>
      </c>
      <c r="V31" s="2" t="inlineStr">
        <is>
          <t>Kambräken</t>
        </is>
      </c>
      <c r="W31">
        <f>HYPERLINK("https://klasma.github.io/Logging_0136/artfynd/A 32479-2026 artfynd.xlsx", "A 32479-2026")</f>
        <v/>
      </c>
      <c r="X31">
        <f>HYPERLINK("https://klasma.github.io/Logging_0136/kartor/A 32479-2026 karta.png", "A 32479-2026")</f>
        <v/>
      </c>
      <c r="Y31">
        <f>HYPERLINK("https://klasma.github.io/Logging_0136/kartor_geotiff/A 32479-2026 georefererad karta.tif", "A 32479-2026")</f>
        <v/>
      </c>
      <c r="AA31">
        <f>HYPERLINK("https://klasma.github.io/Logging_0136/klagomål/A 32479-2026 FSC-klagomål.docx", "A 32479-2026")</f>
        <v/>
      </c>
      <c r="AB31">
        <f>HYPERLINK("https://klasma.github.io/Logging_0136/klagomålsmail/A 32479-2026 FSC-klagomål mail.docx", "A 32479-2026")</f>
        <v/>
      </c>
      <c r="AC31">
        <f>HYPERLINK("https://klasma.github.io/Logging_0136/tillsyn/A 32479-2026 tillsynsbegäran.docx", "A 32479-2026")</f>
        <v/>
      </c>
      <c r="AD31">
        <f>HYPERLINK("https://klasma.github.io/Logging_0136/tillsynsmail/A 32479-2026 tillsynsbegäran mail.docx", "A 32479-2026")</f>
        <v/>
      </c>
    </row>
    <row r="32" ht="15" customHeight="1">
      <c r="A32" t="inlineStr">
        <is>
          <t>A 41259-2022</t>
        </is>
      </c>
      <c r="B32" t="inlineStr">
        <is>
          <t>avverkningsanmälan</t>
        </is>
      </c>
      <c r="C32" t="inlineStr">
        <is>
          <t>Föryngringsavverkning</t>
        </is>
      </c>
      <c r="D32" s="1" t="n">
        <v>44825</v>
      </c>
      <c r="E32" s="1" t="n">
        <v>46242</v>
      </c>
      <c r="F32" t="inlineStr">
        <is>
          <t>STOCKHOLMS LÄN</t>
        </is>
      </c>
      <c r="G32" t="inlineStr">
        <is>
          <t>HANINGE</t>
        </is>
      </c>
      <c r="H32" t="inlineStr">
        <is>
          <t>Övriga statliga verk och myndigheter</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41263-2022</t>
        </is>
      </c>
      <c r="B33" t="inlineStr">
        <is>
          <t>avverkningsanmälan</t>
        </is>
      </c>
      <c r="C33" t="inlineStr">
        <is>
          <t>Föryngringsavverkning</t>
        </is>
      </c>
      <c r="D33" s="1" t="n">
        <v>44825</v>
      </c>
      <c r="E33" s="1" t="n">
        <v>46242</v>
      </c>
      <c r="F33" t="inlineStr">
        <is>
          <t>STOCKHOLMS LÄN</t>
        </is>
      </c>
      <c r="G33" t="inlineStr">
        <is>
          <t>HANINGE</t>
        </is>
      </c>
      <c r="H33" t="inlineStr">
        <is>
          <t>Övriga statliga verk och myndigheter</t>
        </is>
      </c>
      <c r="I33" t="n">
        <v>1.9</v>
      </c>
      <c r="J33" t="n">
        <v>0</v>
      </c>
      <c r="K33" t="n">
        <v>0</v>
      </c>
      <c r="L33" t="n">
        <v>0</v>
      </c>
      <c r="M33" t="n">
        <v>0</v>
      </c>
      <c r="N33" t="n">
        <v>0</v>
      </c>
      <c r="O33" t="n">
        <v>0</v>
      </c>
      <c r="P33" t="n">
        <v>0</v>
      </c>
      <c r="Q33" t="n">
        <v>0</v>
      </c>
      <c r="R33" t="n">
        <v>0</v>
      </c>
      <c r="S33" t="n">
        <v>0</v>
      </c>
      <c r="T33" t="n">
        <v>0</v>
      </c>
      <c r="U33" t="n">
        <v>0</v>
      </c>
      <c r="V33" s="2" t="inlineStr"/>
    </row>
    <row r="34" ht="15" customHeight="1">
      <c r="A34" t="inlineStr">
        <is>
          <t>A 50903-2021</t>
        </is>
      </c>
      <c r="B34" t="inlineStr">
        <is>
          <t>avverkningsanmälan</t>
        </is>
      </c>
      <c r="C34" t="inlineStr">
        <is>
          <t>Föryngringsavverkning</t>
        </is>
      </c>
      <c r="D34" s="1" t="n">
        <v>44460</v>
      </c>
      <c r="E34" s="1" t="n">
        <v>46242</v>
      </c>
      <c r="F34" t="inlineStr">
        <is>
          <t>STOCKHOLMS LÄN</t>
        </is>
      </c>
      <c r="G34" t="inlineStr">
        <is>
          <t>HANINGE</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45501-2022</t>
        </is>
      </c>
      <c r="B35" t="inlineStr">
        <is>
          <t>avverkningsanmälan</t>
        </is>
      </c>
      <c r="C35" t="inlineStr">
        <is>
          <t>Föryngringsavverkning</t>
        </is>
      </c>
      <c r="D35" s="1" t="n">
        <v>44845</v>
      </c>
      <c r="E35" s="1" t="n">
        <v>46242</v>
      </c>
      <c r="F35" t="inlineStr">
        <is>
          <t>STOCKHOLMS LÄN</t>
        </is>
      </c>
      <c r="G35" t="inlineStr">
        <is>
          <t>HANINGE</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45498-2022</t>
        </is>
      </c>
      <c r="B36" t="inlineStr">
        <is>
          <t>avverkningsanmälan</t>
        </is>
      </c>
      <c r="C36" t="inlineStr">
        <is>
          <t>Föryngringsavverkning</t>
        </is>
      </c>
      <c r="D36" s="1" t="n">
        <v>44845</v>
      </c>
      <c r="E36" s="1" t="n">
        <v>46242</v>
      </c>
      <c r="F36" t="inlineStr">
        <is>
          <t>STOCKHOLMS LÄN</t>
        </is>
      </c>
      <c r="G36" t="inlineStr">
        <is>
          <t>HANINGE</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55853-2021</t>
        </is>
      </c>
      <c r="B37" t="inlineStr">
        <is>
          <t>avverkningsanmälan</t>
        </is>
      </c>
      <c r="C37" t="inlineStr">
        <is>
          <t>Föryngringsavverkning</t>
        </is>
      </c>
      <c r="D37" s="1" t="n">
        <v>44476</v>
      </c>
      <c r="E37" s="1" t="n">
        <v>46242</v>
      </c>
      <c r="F37" t="inlineStr">
        <is>
          <t>STOCKHOLMS LÄN</t>
        </is>
      </c>
      <c r="G37" t="inlineStr">
        <is>
          <t>HANINGE</t>
        </is>
      </c>
      <c r="H37" t="inlineStr">
        <is>
          <t>Kommuner</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19652-2022</t>
        </is>
      </c>
      <c r="B38" t="inlineStr">
        <is>
          <t>avverkningsanmälan</t>
        </is>
      </c>
      <c r="C38" t="inlineStr">
        <is>
          <t>Avverkning för annat ändamål</t>
        </is>
      </c>
      <c r="D38" s="1" t="n">
        <v>44694</v>
      </c>
      <c r="E38" s="1" t="n">
        <v>46242</v>
      </c>
      <c r="F38" t="inlineStr">
        <is>
          <t>STOCKHOLMS LÄN</t>
        </is>
      </c>
      <c r="G38" t="inlineStr">
        <is>
          <t>HANINGE</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45395-2021</t>
        </is>
      </c>
      <c r="B39" t="inlineStr">
        <is>
          <t>avverkningsanmälan</t>
        </is>
      </c>
      <c r="C39" t="inlineStr">
        <is>
          <t>Föryngringsavverkning</t>
        </is>
      </c>
      <c r="D39" s="1" t="n">
        <v>44440</v>
      </c>
      <c r="E39" s="1" t="n">
        <v>46242</v>
      </c>
      <c r="F39" t="inlineStr">
        <is>
          <t>STOCKHOLMS LÄN</t>
        </is>
      </c>
      <c r="G39" t="inlineStr">
        <is>
          <t>HANINGE</t>
        </is>
      </c>
      <c r="H39" t="inlineStr">
        <is>
          <t>Övriga statliga verk och myndigheter</t>
        </is>
      </c>
      <c r="I39" t="n">
        <v>3.5</v>
      </c>
      <c r="J39" t="n">
        <v>0</v>
      </c>
      <c r="K39" t="n">
        <v>0</v>
      </c>
      <c r="L39" t="n">
        <v>0</v>
      </c>
      <c r="M39" t="n">
        <v>0</v>
      </c>
      <c r="N39" t="n">
        <v>0</v>
      </c>
      <c r="O39" t="n">
        <v>0</v>
      </c>
      <c r="P39" t="n">
        <v>0</v>
      </c>
      <c r="Q39" t="n">
        <v>0</v>
      </c>
      <c r="R39" t="n">
        <v>0</v>
      </c>
      <c r="S39" t="n">
        <v>0</v>
      </c>
      <c r="T39" t="n">
        <v>0</v>
      </c>
      <c r="U39" t="n">
        <v>0</v>
      </c>
      <c r="V39" s="2" t="inlineStr"/>
    </row>
    <row r="40" ht="15" customHeight="1">
      <c r="A40" t="inlineStr">
        <is>
          <t>A 43709-2021</t>
        </is>
      </c>
      <c r="B40" t="inlineStr">
        <is>
          <t>avverkningsanmälan</t>
        </is>
      </c>
      <c r="C40" t="inlineStr">
        <is>
          <t>Föryngringsavverkning</t>
        </is>
      </c>
      <c r="D40" s="1" t="n">
        <v>44433</v>
      </c>
      <c r="E40" s="1" t="n">
        <v>46242</v>
      </c>
      <c r="F40" t="inlineStr">
        <is>
          <t>STOCKHOLMS LÄN</t>
        </is>
      </c>
      <c r="G40" t="inlineStr">
        <is>
          <t>HANINGE</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55861-2021</t>
        </is>
      </c>
      <c r="B41" t="inlineStr">
        <is>
          <t>avverkningsanmälan</t>
        </is>
      </c>
      <c r="C41" t="inlineStr">
        <is>
          <t>Föryngringsavverkning</t>
        </is>
      </c>
      <c r="D41" s="1" t="n">
        <v>44476</v>
      </c>
      <c r="E41" s="1" t="n">
        <v>46242</v>
      </c>
      <c r="F41" t="inlineStr">
        <is>
          <t>STOCKHOLMS LÄN</t>
        </is>
      </c>
      <c r="G41" t="inlineStr">
        <is>
          <t>HANINGE</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41266-2022</t>
        </is>
      </c>
      <c r="B42" t="inlineStr">
        <is>
          <t>avverkningsanmälan</t>
        </is>
      </c>
      <c r="C42" t="inlineStr">
        <is>
          <t>Föryngringsavverkning</t>
        </is>
      </c>
      <c r="D42" s="1" t="n">
        <v>44825</v>
      </c>
      <c r="E42" s="1" t="n">
        <v>46242</v>
      </c>
      <c r="F42" t="inlineStr">
        <is>
          <t>STOCKHOLMS LÄN</t>
        </is>
      </c>
      <c r="G42" t="inlineStr">
        <is>
          <t>HANINGE</t>
        </is>
      </c>
      <c r="H42" t="inlineStr">
        <is>
          <t>Övriga statliga verk och myndigheter</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46242</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30419-2022</t>
        </is>
      </c>
      <c r="B44" t="inlineStr">
        <is>
          <t>avverkningsanmälan</t>
        </is>
      </c>
      <c r="C44" t="inlineStr">
        <is>
          <t>Föryngringsavverkning</t>
        </is>
      </c>
      <c r="D44" s="1" t="n">
        <v>44761</v>
      </c>
      <c r="E44" s="1" t="n">
        <v>46242</v>
      </c>
      <c r="F44" t="inlineStr">
        <is>
          <t>STOCKHOLMS LÄN</t>
        </is>
      </c>
      <c r="G44" t="inlineStr">
        <is>
          <t>HANINGE</t>
        </is>
      </c>
      <c r="I44" t="n">
        <v>7.4</v>
      </c>
      <c r="J44" t="n">
        <v>0</v>
      </c>
      <c r="K44" t="n">
        <v>0</v>
      </c>
      <c r="L44" t="n">
        <v>0</v>
      </c>
      <c r="M44" t="n">
        <v>0</v>
      </c>
      <c r="N44" t="n">
        <v>0</v>
      </c>
      <c r="O44" t="n">
        <v>0</v>
      </c>
      <c r="P44" t="n">
        <v>0</v>
      </c>
      <c r="Q44" t="n">
        <v>0</v>
      </c>
      <c r="R44" t="n">
        <v>0</v>
      </c>
      <c r="S44" t="n">
        <v>0</v>
      </c>
      <c r="T44" t="n">
        <v>0</v>
      </c>
      <c r="U44" t="n">
        <v>0</v>
      </c>
      <c r="V44" s="2" t="inlineStr"/>
    </row>
    <row r="45" ht="15" customHeight="1">
      <c r="A45" t="inlineStr">
        <is>
          <t>A 37000-2022</t>
        </is>
      </c>
      <c r="B45" t="inlineStr">
        <is>
          <t>avverkningsanmälan</t>
        </is>
      </c>
      <c r="C45" t="inlineStr">
        <is>
          <t>Föryngringsavverkning</t>
        </is>
      </c>
      <c r="D45" s="1" t="n">
        <v>44806</v>
      </c>
      <c r="E45" s="1" t="n">
        <v>46242</v>
      </c>
      <c r="F45" t="inlineStr">
        <is>
          <t>STOCKHOLMS LÄN</t>
        </is>
      </c>
      <c r="G45" t="inlineStr">
        <is>
          <t>HANINGE</t>
        </is>
      </c>
      <c r="H45" t="inlineStr">
        <is>
          <t>Övriga statliga verk och myndigheter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9946-2024</t>
        </is>
      </c>
      <c r="B46" t="inlineStr">
        <is>
          <t>avverkningsanmälan</t>
        </is>
      </c>
      <c r="C46" t="inlineStr">
        <is>
          <t>Föryngringsavverkning</t>
        </is>
      </c>
      <c r="D46" s="1" t="n">
        <v>45363</v>
      </c>
      <c r="E46" s="1" t="n">
        <v>46242</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4297-2024</t>
        </is>
      </c>
      <c r="B47" t="inlineStr">
        <is>
          <t>avverkningsanmälan</t>
        </is>
      </c>
      <c r="C47" t="inlineStr">
        <is>
          <t>Föryngringsavverkning</t>
        </is>
      </c>
      <c r="D47" s="1" t="n">
        <v>45324</v>
      </c>
      <c r="E47" s="1" t="n">
        <v>46242</v>
      </c>
      <c r="F47" t="inlineStr">
        <is>
          <t>STOCKHOLMS LÄN</t>
        </is>
      </c>
      <c r="G47" t="inlineStr">
        <is>
          <t>HANINGE</t>
        </is>
      </c>
      <c r="H47" t="inlineStr">
        <is>
          <t>Kommuner</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41809-2021</t>
        </is>
      </c>
      <c r="B48" t="inlineStr">
        <is>
          <t>avverkningsanmälan</t>
        </is>
      </c>
      <c r="C48" t="inlineStr">
        <is>
          <t>Föryngringsavverkning</t>
        </is>
      </c>
      <c r="D48" s="1" t="n">
        <v>44425</v>
      </c>
      <c r="E48" s="1" t="n">
        <v>46242</v>
      </c>
      <c r="F48" t="inlineStr">
        <is>
          <t>STOCKHOLMS LÄN</t>
        </is>
      </c>
      <c r="G48" t="inlineStr">
        <is>
          <t>HANINGE</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13046-2022</t>
        </is>
      </c>
      <c r="B49" t="inlineStr">
        <is>
          <t>avverkningsanmälan</t>
        </is>
      </c>
      <c r="C49" t="inlineStr">
        <is>
          <t>Föryngringsavverkning</t>
        </is>
      </c>
      <c r="D49" s="1" t="n">
        <v>44643</v>
      </c>
      <c r="E49" s="1" t="n">
        <v>46242</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50306-2023</t>
        </is>
      </c>
      <c r="B50" t="inlineStr">
        <is>
          <t>avverkningsanmälan</t>
        </is>
      </c>
      <c r="C50" t="inlineStr">
        <is>
          <t>Föryngringsavverkning</t>
        </is>
      </c>
      <c r="D50" s="1" t="n">
        <v>45209</v>
      </c>
      <c r="E50" s="1" t="n">
        <v>46242</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c r="Z50">
        <f>HYPERLINK("https://klasma.github.io/Logging_0136/knärot/A 50306-2023 karta knärot.png", "A 50306-2023")</f>
        <v/>
      </c>
      <c r="AA50">
        <f>HYPERLINK("https://klasma.github.io/Logging_0136/klagomål/A 50306-2023 FSC-klagomål.docx", "A 50306-2023")</f>
        <v/>
      </c>
      <c r="AB50">
        <f>HYPERLINK("https://klasma.github.io/Logging_0136/klagomålsmail/A 50306-2023 FSC-klagomål mail.docx", "A 50306-2023")</f>
        <v/>
      </c>
      <c r="AC50">
        <f>HYPERLINK("https://klasma.github.io/Logging_0136/tillsyn/A 50306-2023 tillsynsbegäran.docx", "A 50306-2023")</f>
        <v/>
      </c>
      <c r="AD50">
        <f>HYPERLINK("https://klasma.github.io/Logging_0136/tillsynsmail/A 50306-2023 tillsynsbegäran mail.docx", "A 50306-2023")</f>
        <v/>
      </c>
    </row>
    <row r="51" ht="15" customHeight="1">
      <c r="A51" t="inlineStr">
        <is>
          <t>A 22288-2023</t>
        </is>
      </c>
      <c r="B51" t="inlineStr">
        <is>
          <t>avverkningsanmälan</t>
        </is>
      </c>
      <c r="C51" t="inlineStr">
        <is>
          <t>Föryngringsavverkning</t>
        </is>
      </c>
      <c r="D51" s="1" t="n">
        <v>45070</v>
      </c>
      <c r="E51" s="1" t="n">
        <v>46242</v>
      </c>
      <c r="F51" t="inlineStr">
        <is>
          <t>STOCKHOLMS LÄN</t>
        </is>
      </c>
      <c r="G51" t="inlineStr">
        <is>
          <t>HANINGE</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27596-2025</t>
        </is>
      </c>
      <c r="B52" t="inlineStr">
        <is>
          <t>avverkningsanmälan</t>
        </is>
      </c>
      <c r="C52" t="inlineStr">
        <is>
          <t>Avverkning för att bevara och utveckla /försöksver</t>
        </is>
      </c>
      <c r="D52" s="1" t="n">
        <v>45813</v>
      </c>
      <c r="E52" s="1" t="n">
        <v>46242</v>
      </c>
      <c r="F52" t="inlineStr">
        <is>
          <t>STOCKHOLMS LÄN</t>
        </is>
      </c>
      <c r="G52" t="inlineStr">
        <is>
          <t>HANINGE</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18512-2024</t>
        </is>
      </c>
      <c r="B53" t="inlineStr">
        <is>
          <t>avverkningsanmälan</t>
        </is>
      </c>
      <c r="C53" t="inlineStr">
        <is>
          <t>Föryngringsavverkning</t>
        </is>
      </c>
      <c r="D53" s="1" t="n">
        <v>45425</v>
      </c>
      <c r="E53" s="1" t="n">
        <v>46242</v>
      </c>
      <c r="F53" t="inlineStr">
        <is>
          <t>STOCKHOLMS LÄN</t>
        </is>
      </c>
      <c r="G53" t="inlineStr">
        <is>
          <t>HANINGE</t>
        </is>
      </c>
      <c r="H53" t="inlineStr">
        <is>
          <t>Kommuner</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12787-2026</t>
        </is>
      </c>
      <c r="B54" t="inlineStr">
        <is>
          <t>avverkningsanmälan</t>
        </is>
      </c>
      <c r="C54" t="inlineStr">
        <is>
          <t>Föryngringsavverkning</t>
        </is>
      </c>
      <c r="D54" s="1" t="n">
        <v>46091</v>
      </c>
      <c r="E54" s="1" t="n">
        <v>46242</v>
      </c>
      <c r="F54" t="inlineStr">
        <is>
          <t>STOCKHOLMS LÄN</t>
        </is>
      </c>
      <c r="G54" t="inlineStr">
        <is>
          <t>HANINGE</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32948-2025</t>
        </is>
      </c>
      <c r="B55" t="inlineStr">
        <is>
          <t>avverkningsanmälan</t>
        </is>
      </c>
      <c r="C55" t="inlineStr">
        <is>
          <t>Föryngringsavverkning</t>
        </is>
      </c>
      <c r="D55" s="1" t="n">
        <v>45839</v>
      </c>
      <c r="E55" s="1" t="n">
        <v>46242</v>
      </c>
      <c r="F55" t="inlineStr">
        <is>
          <t>STOCKHOLMS LÄN</t>
        </is>
      </c>
      <c r="G55" t="inlineStr">
        <is>
          <t>HANINGE</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59569-2025</t>
        </is>
      </c>
      <c r="B56" t="inlineStr">
        <is>
          <t>avverkningsanmälan</t>
        </is>
      </c>
      <c r="C56" t="inlineStr">
        <is>
          <t>Föryngringsavverkning</t>
        </is>
      </c>
      <c r="D56" s="1" t="n">
        <v>45991</v>
      </c>
      <c r="E56" s="1" t="n">
        <v>46242</v>
      </c>
      <c r="F56" t="inlineStr">
        <is>
          <t>STOCKHOLMS LÄN</t>
        </is>
      </c>
      <c r="G56" t="inlineStr">
        <is>
          <t>HANINGE</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18528-2024</t>
        </is>
      </c>
      <c r="B57" t="inlineStr">
        <is>
          <t>avverkningsanmälan</t>
        </is>
      </c>
      <c r="C57" t="inlineStr">
        <is>
          <t>Föryngringsavverkning</t>
        </is>
      </c>
      <c r="D57" s="1" t="n">
        <v>45425</v>
      </c>
      <c r="E57" s="1" t="n">
        <v>46242</v>
      </c>
      <c r="F57" t="inlineStr">
        <is>
          <t>STOCKHOLMS LÄN</t>
        </is>
      </c>
      <c r="G57" t="inlineStr">
        <is>
          <t>HANINGE</t>
        </is>
      </c>
      <c r="H57" t="inlineStr">
        <is>
          <t>Kommuner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48606-2025</t>
        </is>
      </c>
      <c r="B58" t="inlineStr">
        <is>
          <t>avverkningsanmälan</t>
        </is>
      </c>
      <c r="C58" t="inlineStr">
        <is>
          <t>Föryngringsavverkning</t>
        </is>
      </c>
      <c r="D58" s="1" t="n">
        <v>45936</v>
      </c>
      <c r="E58" s="1" t="n">
        <v>46242</v>
      </c>
      <c r="F58" t="inlineStr">
        <is>
          <t>STOCKHOLMS LÄN</t>
        </is>
      </c>
      <c r="G58" t="inlineStr">
        <is>
          <t>HANINGE</t>
        </is>
      </c>
      <c r="I58" t="n">
        <v>6.9</v>
      </c>
      <c r="J58" t="n">
        <v>0</v>
      </c>
      <c r="K58" t="n">
        <v>0</v>
      </c>
      <c r="L58" t="n">
        <v>0</v>
      </c>
      <c r="M58" t="n">
        <v>0</v>
      </c>
      <c r="N58" t="n">
        <v>0</v>
      </c>
      <c r="O58" t="n">
        <v>0</v>
      </c>
      <c r="P58" t="n">
        <v>0</v>
      </c>
      <c r="Q58" t="n">
        <v>0</v>
      </c>
      <c r="R58" t="n">
        <v>0</v>
      </c>
      <c r="S58" t="n">
        <v>0</v>
      </c>
      <c r="T58" t="n">
        <v>0</v>
      </c>
      <c r="U58" t="n">
        <v>0</v>
      </c>
      <c r="V58" s="2" t="inlineStr"/>
    </row>
    <row r="59" ht="15" customHeight="1">
      <c r="A59" t="inlineStr">
        <is>
          <t>A 18490-2025</t>
        </is>
      </c>
      <c r="B59" t="inlineStr">
        <is>
          <t>avverkningsanmälan</t>
        </is>
      </c>
      <c r="C59" t="inlineStr">
        <is>
          <t>Föryngringsavverkning</t>
        </is>
      </c>
      <c r="D59" s="1" t="n">
        <v>45763</v>
      </c>
      <c r="E59" s="1" t="n">
        <v>46242</v>
      </c>
      <c r="F59" t="inlineStr">
        <is>
          <t>STOCKHOLMS LÄN</t>
        </is>
      </c>
      <c r="G59" t="inlineStr">
        <is>
          <t>HANINGE</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18548-2024</t>
        </is>
      </c>
      <c r="B60" t="inlineStr">
        <is>
          <t>avverkningsanmälan</t>
        </is>
      </c>
      <c r="C60" t="inlineStr">
        <is>
          <t>Föryngringsavverkning</t>
        </is>
      </c>
      <c r="D60" s="1" t="n">
        <v>45425</v>
      </c>
      <c r="E60" s="1" t="n">
        <v>46242</v>
      </c>
      <c r="F60" t="inlineStr">
        <is>
          <t>STOCKHOLMS LÄN</t>
        </is>
      </c>
      <c r="G60" t="inlineStr">
        <is>
          <t>HANINGE</t>
        </is>
      </c>
      <c r="H60" t="inlineStr">
        <is>
          <t>Kommuner</t>
        </is>
      </c>
      <c r="I60" t="n">
        <v>7.3</v>
      </c>
      <c r="J60" t="n">
        <v>0</v>
      </c>
      <c r="K60" t="n">
        <v>0</v>
      </c>
      <c r="L60" t="n">
        <v>0</v>
      </c>
      <c r="M60" t="n">
        <v>0</v>
      </c>
      <c r="N60" t="n">
        <v>0</v>
      </c>
      <c r="O60" t="n">
        <v>0</v>
      </c>
      <c r="P60" t="n">
        <v>0</v>
      </c>
      <c r="Q60" t="n">
        <v>0</v>
      </c>
      <c r="R60" t="n">
        <v>0</v>
      </c>
      <c r="S60" t="n">
        <v>0</v>
      </c>
      <c r="T60" t="n">
        <v>0</v>
      </c>
      <c r="U60" t="n">
        <v>0</v>
      </c>
      <c r="V60" s="2" t="inlineStr"/>
    </row>
    <row r="61" ht="15" customHeight="1">
      <c r="A61" t="inlineStr">
        <is>
          <t>A 20839-2024</t>
        </is>
      </c>
      <c r="B61" t="inlineStr">
        <is>
          <t>avverkningsanmälan</t>
        </is>
      </c>
      <c r="C61" t="inlineStr">
        <is>
          <t>Föryngringsavverkning</t>
        </is>
      </c>
      <c r="D61" s="1" t="n">
        <v>45439</v>
      </c>
      <c r="E61" s="1" t="n">
        <v>46242</v>
      </c>
      <c r="F61" t="inlineStr">
        <is>
          <t>STOCKHOLMS LÄN</t>
        </is>
      </c>
      <c r="G61" t="inlineStr">
        <is>
          <t>HANINGE</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5474-2024</t>
        </is>
      </c>
      <c r="B62" t="inlineStr">
        <is>
          <t>avverkningsanmälan</t>
        </is>
      </c>
      <c r="C62" t="inlineStr">
        <is>
          <t>Föryngringsavverkning</t>
        </is>
      </c>
      <c r="D62" s="1" t="n">
        <v>45333</v>
      </c>
      <c r="E62" s="1" t="n">
        <v>46242</v>
      </c>
      <c r="F62" t="inlineStr">
        <is>
          <t>STOCKHOLMS LÄN</t>
        </is>
      </c>
      <c r="G62" t="inlineStr">
        <is>
          <t>HANINGE</t>
        </is>
      </c>
      <c r="H62" t="inlineStr">
        <is>
          <t>Kommuner</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52770-2024</t>
        </is>
      </c>
      <c r="B63" t="inlineStr">
        <is>
          <t>avverkningsanmälan</t>
        </is>
      </c>
      <c r="C63" t="inlineStr">
        <is>
          <t>Föryngringsavverkning</t>
        </is>
      </c>
      <c r="D63" s="1" t="n">
        <v>45610</v>
      </c>
      <c r="E63" s="1" t="n">
        <v>46242</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23666-2024</t>
        </is>
      </c>
      <c r="B64" t="inlineStr">
        <is>
          <t>avverkningsanmälan</t>
        </is>
      </c>
      <c r="C64" t="inlineStr">
        <is>
          <t>Föryngringsavverkning</t>
        </is>
      </c>
      <c r="D64" s="1" t="n">
        <v>45454</v>
      </c>
      <c r="E64" s="1" t="n">
        <v>46242</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68896-2021</t>
        </is>
      </c>
      <c r="B65" t="inlineStr">
        <is>
          <t>avverkningsanmälan</t>
        </is>
      </c>
      <c r="C65" t="inlineStr">
        <is>
          <t>Föryngringsavverkning</t>
        </is>
      </c>
      <c r="D65" s="1" t="n">
        <v>44526</v>
      </c>
      <c r="E65" s="1" t="n">
        <v>46242</v>
      </c>
      <c r="F65" t="inlineStr">
        <is>
          <t>STOCKHOLMS LÄN</t>
        </is>
      </c>
      <c r="G65" t="inlineStr">
        <is>
          <t>HANINGE</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14264-2025</t>
        </is>
      </c>
      <c r="B66" t="inlineStr">
        <is>
          <t>avverkningsanmälan</t>
        </is>
      </c>
      <c r="C66" t="inlineStr">
        <is>
          <t>Föryngringsavverkning</t>
        </is>
      </c>
      <c r="D66" s="1" t="n">
        <v>45740</v>
      </c>
      <c r="E66" s="1" t="n">
        <v>46242</v>
      </c>
      <c r="F66" t="inlineStr">
        <is>
          <t>STOCKHOLMS LÄN</t>
        </is>
      </c>
      <c r="G66" t="inlineStr">
        <is>
          <t>HANINGE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46242</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14900-2025</t>
        </is>
      </c>
      <c r="B68" t="inlineStr">
        <is>
          <t>avverkningsanmälan</t>
        </is>
      </c>
      <c r="C68" t="inlineStr">
        <is>
          <t>Föryngringsavverkning</t>
        </is>
      </c>
      <c r="D68" s="1" t="n">
        <v>45743</v>
      </c>
      <c r="E68" s="1" t="n">
        <v>46242</v>
      </c>
      <c r="F68" t="inlineStr">
        <is>
          <t>STOCKHOLMS LÄN</t>
        </is>
      </c>
      <c r="G68" t="inlineStr">
        <is>
          <t>HANINGE</t>
        </is>
      </c>
      <c r="I68" t="n">
        <v>4.5</v>
      </c>
      <c r="J68" t="n">
        <v>0</v>
      </c>
      <c r="K68" t="n">
        <v>0</v>
      </c>
      <c r="L68" t="n">
        <v>0</v>
      </c>
      <c r="M68" t="n">
        <v>0</v>
      </c>
      <c r="N68" t="n">
        <v>0</v>
      </c>
      <c r="O68" t="n">
        <v>0</v>
      </c>
      <c r="P68" t="n">
        <v>0</v>
      </c>
      <c r="Q68" t="n">
        <v>0</v>
      </c>
      <c r="R68" t="n">
        <v>0</v>
      </c>
      <c r="S68" t="n">
        <v>0</v>
      </c>
      <c r="T68" t="n">
        <v>0</v>
      </c>
      <c r="U68" t="n">
        <v>0</v>
      </c>
      <c r="V68" s="2" t="inlineStr"/>
    </row>
    <row r="69" ht="15" customHeight="1">
      <c r="A69" t="inlineStr">
        <is>
          <t>A 20527-2025</t>
        </is>
      </c>
      <c r="B69" t="inlineStr">
        <is>
          <t>avverkningsanmälan</t>
        </is>
      </c>
      <c r="C69" t="inlineStr">
        <is>
          <t>Föryngringsavverkning</t>
        </is>
      </c>
      <c r="D69" s="1" t="n">
        <v>45775</v>
      </c>
      <c r="E69" s="1" t="n">
        <v>46242</v>
      </c>
      <c r="F69" t="inlineStr">
        <is>
          <t>STOCKHOLMS LÄN</t>
        </is>
      </c>
      <c r="G69" t="inlineStr">
        <is>
          <t>HANINGE</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64568-2023</t>
        </is>
      </c>
      <c r="B70" t="inlineStr">
        <is>
          <t>avverkningsanmälan</t>
        </is>
      </c>
      <c r="C70" t="inlineStr">
        <is>
          <t>Föryngringsavverkning</t>
        </is>
      </c>
      <c r="D70" s="1" t="n">
        <v>45281</v>
      </c>
      <c r="E70" s="1" t="n">
        <v>46242</v>
      </c>
      <c r="F70" t="inlineStr">
        <is>
          <t>STOCKHOLMS LÄN</t>
        </is>
      </c>
      <c r="G70" t="inlineStr">
        <is>
          <t>HANINGE</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1180-2024</t>
        </is>
      </c>
      <c r="B71" t="inlineStr">
        <is>
          <t>avverkningsanmälan</t>
        </is>
      </c>
      <c r="C71" t="inlineStr">
        <is>
          <t>Föryngringsavverkning</t>
        </is>
      </c>
      <c r="D71" s="1" t="n">
        <v>45302</v>
      </c>
      <c r="E71" s="1" t="n">
        <v>46242</v>
      </c>
      <c r="F71" t="inlineStr">
        <is>
          <t>STOCKHOLMS LÄN</t>
        </is>
      </c>
      <c r="G71" t="inlineStr">
        <is>
          <t>HANINGE</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24873-2023</t>
        </is>
      </c>
      <c r="B72" t="inlineStr">
        <is>
          <t>avverkningsanmälan</t>
        </is>
      </c>
      <c r="C72" t="inlineStr">
        <is>
          <t>Föryngringsavverkning</t>
        </is>
      </c>
      <c r="D72" s="1" t="n">
        <v>45085</v>
      </c>
      <c r="E72" s="1" t="n">
        <v>46242</v>
      </c>
      <c r="F72" t="inlineStr">
        <is>
          <t>STOCKHOLMS LÄN</t>
        </is>
      </c>
      <c r="G72" t="inlineStr">
        <is>
          <t>HANINGE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58599-2023</t>
        </is>
      </c>
      <c r="B73" t="inlineStr">
        <is>
          <t>avverkningsanmälan</t>
        </is>
      </c>
      <c r="C73" t="inlineStr">
        <is>
          <t>Föryngringsavverkning</t>
        </is>
      </c>
      <c r="D73" s="1" t="n">
        <v>45251</v>
      </c>
      <c r="E73" s="1" t="n">
        <v>46242</v>
      </c>
      <c r="F73" t="inlineStr">
        <is>
          <t>STOCKHOLMS LÄN</t>
        </is>
      </c>
      <c r="G73" t="inlineStr">
        <is>
          <t>HANINGE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24800-2026</t>
        </is>
      </c>
      <c r="B74" t="inlineStr">
        <is>
          <t>avverkningsanmälan</t>
        </is>
      </c>
      <c r="C74" t="inlineStr">
        <is>
          <t>Föryngringsavverkning</t>
        </is>
      </c>
      <c r="D74" s="1" t="n">
        <v>46171</v>
      </c>
      <c r="E74" s="1" t="n">
        <v>46242</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52836-2024</t>
        </is>
      </c>
      <c r="B75" t="inlineStr">
        <is>
          <t>avverkningsanmälan</t>
        </is>
      </c>
      <c r="C75" t="inlineStr">
        <is>
          <t>Föryngringsavverkning</t>
        </is>
      </c>
      <c r="D75" s="1" t="n">
        <v>45610</v>
      </c>
      <c r="E75" s="1" t="n">
        <v>46242</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26417-2026</t>
        </is>
      </c>
      <c r="B76" t="inlineStr">
        <is>
          <t>avverkningsanmälan</t>
        </is>
      </c>
      <c r="C76" t="inlineStr">
        <is>
          <t>Föryngringsavverkning</t>
        </is>
      </c>
      <c r="D76" s="1" t="n">
        <v>46183</v>
      </c>
      <c r="E76" s="1" t="n">
        <v>46242</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26886-2026</t>
        </is>
      </c>
      <c r="B77" t="inlineStr">
        <is>
          <t>avverkningsanmälan</t>
        </is>
      </c>
      <c r="C77" t="inlineStr">
        <is>
          <t>Avverkning för annat ändamål</t>
        </is>
      </c>
      <c r="D77" s="1" t="n">
        <v>46185</v>
      </c>
      <c r="E77" s="1" t="n">
        <v>46242</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8078-2024</t>
        </is>
      </c>
      <c r="B78" t="inlineStr">
        <is>
          <t>avverkningsanmälan</t>
        </is>
      </c>
      <c r="C78" t="inlineStr">
        <is>
          <t>Föryngringsavverkning</t>
        </is>
      </c>
      <c r="D78" s="1" t="n">
        <v>45351</v>
      </c>
      <c r="E78" s="1" t="n">
        <v>46242</v>
      </c>
      <c r="F78" t="inlineStr">
        <is>
          <t>STOCKHOLMS LÄN</t>
        </is>
      </c>
      <c r="G78" t="inlineStr">
        <is>
          <t>HANINGE</t>
        </is>
      </c>
      <c r="H78" t="inlineStr">
        <is>
          <t>Kommuner</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32486-2026</t>
        </is>
      </c>
      <c r="B79" t="inlineStr">
        <is>
          <t>avverkningsanmälan</t>
        </is>
      </c>
      <c r="C79" t="inlineStr">
        <is>
          <t>Föryngringsavverkning</t>
        </is>
      </c>
      <c r="D79" s="1" t="n">
        <v>46239</v>
      </c>
      <c r="E79" s="1" t="n">
        <v>46242</v>
      </c>
      <c r="F79" t="inlineStr">
        <is>
          <t>STOCKHOLMS LÄN</t>
        </is>
      </c>
      <c r="G79" t="inlineStr">
        <is>
          <t>HANINGE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19220-2023</t>
        </is>
      </c>
      <c r="B80" t="inlineStr">
        <is>
          <t>avverkningsanmälan</t>
        </is>
      </c>
      <c r="C80" t="inlineStr">
        <is>
          <t>Föryngringsavverkning</t>
        </is>
      </c>
      <c r="D80" s="1" t="n">
        <v>45048</v>
      </c>
      <c r="E80" s="1" t="n">
        <v>46242</v>
      </c>
      <c r="F80" t="inlineStr">
        <is>
          <t>STOCKHOLMS LÄN</t>
        </is>
      </c>
      <c r="G80" t="inlineStr">
        <is>
          <t>HANINGE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25584-2023</t>
        </is>
      </c>
      <c r="B81" t="inlineStr">
        <is>
          <t>avverkningsanmälan</t>
        </is>
      </c>
      <c r="C81" t="inlineStr">
        <is>
          <t>Föryngringsavverkning</t>
        </is>
      </c>
      <c r="D81" s="1" t="n">
        <v>45089</v>
      </c>
      <c r="E81" s="1" t="n">
        <v>46242</v>
      </c>
      <c r="F81" t="inlineStr">
        <is>
          <t>STOCKHOLMS LÄN</t>
        </is>
      </c>
      <c r="G81" t="inlineStr">
        <is>
          <t>HANINGE</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3156-2025</t>
        </is>
      </c>
      <c r="B82" t="inlineStr">
        <is>
          <t>avverkningsanmälan</t>
        </is>
      </c>
      <c r="C82" t="inlineStr">
        <is>
          <t>Föryngringsavverkning</t>
        </is>
      </c>
      <c r="D82" s="1" t="n">
        <v>45679</v>
      </c>
      <c r="E82" s="1" t="n">
        <v>46242</v>
      </c>
      <c r="F82" t="inlineStr">
        <is>
          <t>STOCKHOLMS LÄN</t>
        </is>
      </c>
      <c r="G82" t="inlineStr">
        <is>
          <t>HANINGE</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17765-2024</t>
        </is>
      </c>
      <c r="B83" t="inlineStr">
        <is>
          <t>avverkningsanmälan</t>
        </is>
      </c>
      <c r="C83" t="inlineStr">
        <is>
          <t>Föryngringsavverkning</t>
        </is>
      </c>
      <c r="D83" s="1" t="n">
        <v>45418</v>
      </c>
      <c r="E83" s="1" t="n">
        <v>46242</v>
      </c>
      <c r="F83" t="inlineStr">
        <is>
          <t>STOCKHOLMS LÄN</t>
        </is>
      </c>
      <c r="G83" t="inlineStr">
        <is>
          <t>HANINGE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68894-2021</t>
        </is>
      </c>
      <c r="B84" t="inlineStr">
        <is>
          <t>avverkningsanmälan</t>
        </is>
      </c>
      <c r="C84" t="inlineStr">
        <is>
          <t>Föryngringsavverkning</t>
        </is>
      </c>
      <c r="D84" s="1" t="n">
        <v>44526</v>
      </c>
      <c r="E84" s="1" t="n">
        <v>46242</v>
      </c>
      <c r="F84" t="inlineStr">
        <is>
          <t>STOCKHOLMS LÄN</t>
        </is>
      </c>
      <c r="G84" t="inlineStr">
        <is>
          <t>HANINGE</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18491-2025</t>
        </is>
      </c>
      <c r="B85" t="inlineStr">
        <is>
          <t>avverkningsanmälan</t>
        </is>
      </c>
      <c r="C85" t="inlineStr">
        <is>
          <t>Föryngringsavverkning</t>
        </is>
      </c>
      <c r="D85" s="1" t="n">
        <v>45763</v>
      </c>
      <c r="E85" s="1" t="n">
        <v>46242</v>
      </c>
      <c r="F85" t="inlineStr">
        <is>
          <t>STOCKHOLMS LÄN</t>
        </is>
      </c>
      <c r="G85" t="inlineStr">
        <is>
          <t>HANINGE</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24193-2025</t>
        </is>
      </c>
      <c r="B86" t="inlineStr">
        <is>
          <t>avverkningsanmälan</t>
        </is>
      </c>
      <c r="C86" t="inlineStr">
        <is>
          <t>Föryngringsavverkning</t>
        </is>
      </c>
      <c r="D86" s="1" t="n">
        <v>45796</v>
      </c>
      <c r="E86" s="1" t="n">
        <v>46242</v>
      </c>
      <c r="F86" t="inlineStr">
        <is>
          <t>STOCKHOLMS LÄN</t>
        </is>
      </c>
      <c r="G86" t="inlineStr">
        <is>
          <t>HANINGE</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64075-2023</t>
        </is>
      </c>
      <c r="B87" t="inlineStr">
        <is>
          <t>avverkningsanmälan</t>
        </is>
      </c>
      <c r="C87" t="inlineStr">
        <is>
          <t>Föryngringsavverkning</t>
        </is>
      </c>
      <c r="D87" s="1" t="n">
        <v>45279</v>
      </c>
      <c r="E87" s="1" t="n">
        <v>46242</v>
      </c>
      <c r="F87" t="inlineStr">
        <is>
          <t>STOCKHOLMS LÄN</t>
        </is>
      </c>
      <c r="G87" t="inlineStr">
        <is>
          <t>HANINGE</t>
        </is>
      </c>
      <c r="I87" t="n">
        <v>2.6</v>
      </c>
      <c r="J87" t="n">
        <v>0</v>
      </c>
      <c r="K87" t="n">
        <v>0</v>
      </c>
      <c r="L87" t="n">
        <v>0</v>
      </c>
      <c r="M87" t="n">
        <v>0</v>
      </c>
      <c r="N87" t="n">
        <v>0</v>
      </c>
      <c r="O87" t="n">
        <v>0</v>
      </c>
      <c r="P87" t="n">
        <v>0</v>
      </c>
      <c r="Q87" t="n">
        <v>0</v>
      </c>
      <c r="R87" t="n">
        <v>0</v>
      </c>
      <c r="S87" t="n">
        <v>0</v>
      </c>
      <c r="T87" t="n">
        <v>0</v>
      </c>
      <c r="U87" t="n">
        <v>0</v>
      </c>
      <c r="V87" s="2" t="inlineStr"/>
    </row>
    <row r="88">
      <c r="A88" t="inlineStr">
        <is>
          <t>S 1718-2026</t>
        </is>
      </c>
      <c r="B88" t="inlineStr">
        <is>
          <t>samrådsanmälan</t>
        </is>
      </c>
      <c r="C88" t="inlineStr">
        <is>
          <t>Annan skogsbruksåtgärd</t>
        </is>
      </c>
      <c r="D88" s="1" t="n">
        <v>46188</v>
      </c>
      <c r="E88" s="1" t="n">
        <v>46242</v>
      </c>
      <c r="F88" t="inlineStr">
        <is>
          <t>STOCKHOLMS LÄN</t>
        </is>
      </c>
      <c r="G88" t="inlineStr">
        <is>
          <t>HANINGE</t>
        </is>
      </c>
      <c r="I88" t="n">
        <v>1.9</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2026-08-08T01:53:34Z</dcterms:created>
  <dcterms:modified xmlns:dcterms="http://purl.org/dc/terms/" xmlns:xsi="http://www.w3.org/2001/XMLSchema-instance" xsi:type="dcterms:W3CDTF">2026-08-08T01:53:34Z</dcterms:modified>
</cp:coreProperties>
</file>