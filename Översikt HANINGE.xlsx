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45700</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45700</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2215-2025</t>
        </is>
      </c>
      <c r="B9" s="1" t="n">
        <v>45672</v>
      </c>
      <c r="C9" s="1" t="n">
        <v>45700</v>
      </c>
      <c r="D9" t="inlineStr">
        <is>
          <t>STOCKHOLMS LÄN</t>
        </is>
      </c>
      <c r="E9" t="inlineStr">
        <is>
          <t>HANINGE</t>
        </is>
      </c>
      <c r="G9" t="n">
        <v>2.3</v>
      </c>
      <c r="H9" t="n">
        <v>4</v>
      </c>
      <c r="I9" t="n">
        <v>8</v>
      </c>
      <c r="J9" t="n">
        <v>4</v>
      </c>
      <c r="K9" t="n">
        <v>1</v>
      </c>
      <c r="L9" t="n">
        <v>0</v>
      </c>
      <c r="M9" t="n">
        <v>0</v>
      </c>
      <c r="N9" t="n">
        <v>0</v>
      </c>
      <c r="O9" t="n">
        <v>5</v>
      </c>
      <c r="P9" t="n">
        <v>1</v>
      </c>
      <c r="Q9" t="n">
        <v>15</v>
      </c>
      <c r="R9" s="2" t="inlineStr">
        <is>
          <t>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2228-2025</t>
        </is>
      </c>
      <c r="B10" s="1" t="n">
        <v>45672</v>
      </c>
      <c r="C10" s="1" t="n">
        <v>45700</v>
      </c>
      <c r="D10" t="inlineStr">
        <is>
          <t>STOCKHOLMS LÄN</t>
        </is>
      </c>
      <c r="E10" t="inlineStr">
        <is>
          <t>HANINGE</t>
        </is>
      </c>
      <c r="G10" t="n">
        <v>1.9</v>
      </c>
      <c r="H10" t="n">
        <v>7</v>
      </c>
      <c r="I10" t="n">
        <v>9</v>
      </c>
      <c r="J10" t="n">
        <v>2</v>
      </c>
      <c r="K10" t="n">
        <v>1</v>
      </c>
      <c r="L10" t="n">
        <v>0</v>
      </c>
      <c r="M10" t="n">
        <v>0</v>
      </c>
      <c r="N10" t="n">
        <v>0</v>
      </c>
      <c r="O10" t="n">
        <v>3</v>
      </c>
      <c r="P10" t="n">
        <v>1</v>
      </c>
      <c r="Q10" t="n">
        <v>15</v>
      </c>
      <c r="R10" s="2" t="inlineStr">
        <is>
          <t>Knärot
Spillkråka
Tallticka
Björksplintborre
Blåmossa
Flagellkvastmossa
Granbarkgnagare
Grön sköldmossa
Mindre märgborre
Nästrot
Stubbspretmossa
Sårläka
Vanlig padda
Blåsippa
Gullviva</t>
        </is>
      </c>
      <c r="S10">
        <f>HYPERLINK("https://klasma.github.io/Logging_0136/artfynd/A 2228-2025 artfynd.xlsx", "A 2228-2025")</f>
        <v/>
      </c>
      <c r="T10">
        <f>HYPERLINK("https://klasma.github.io/Logging_0136/kartor/A 2228-2025 karta.png", "A 2228-2025")</f>
        <v/>
      </c>
      <c r="U10">
        <f>HYPERLINK("https://klasma.github.io/Logging_0136/knärot/A 2228-2025 karta knärot.png", "A 2228-2025")</f>
        <v/>
      </c>
      <c r="V10">
        <f>HYPERLINK("https://klasma.github.io/Logging_0136/klagomål/A 2228-2025 FSC-klagomål.docx", "A 2228-2025")</f>
        <v/>
      </c>
      <c r="W10">
        <f>HYPERLINK("https://klasma.github.io/Logging_0136/klagomålsmail/A 2228-2025 FSC-klagomål mail.docx", "A 2228-2025")</f>
        <v/>
      </c>
      <c r="X10">
        <f>HYPERLINK("https://klasma.github.io/Logging_0136/tillsyn/A 2228-2025 tillsynsbegäran.docx", "A 2228-2025")</f>
        <v/>
      </c>
      <c r="Y10">
        <f>HYPERLINK("https://klasma.github.io/Logging_0136/tillsynsmail/A 2228-2025 tillsynsbegäran mail.docx", "A 2228-2025")</f>
        <v/>
      </c>
      <c r="Z10">
        <f>HYPERLINK("https://klasma.github.io/Logging_0136/fåglar/A 2228-2025 prioriterade fågelarter.docx", "A 2228-2025")</f>
        <v/>
      </c>
    </row>
    <row r="11" ht="15" customHeight="1">
      <c r="A11" t="inlineStr">
        <is>
          <t>A 34343-2023</t>
        </is>
      </c>
      <c r="B11" s="1" t="n">
        <v>45139</v>
      </c>
      <c r="C11" s="1" t="n">
        <v>45700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45700</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45700</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45700</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45700</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45700</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2238-2025</t>
        </is>
      </c>
      <c r="B28" s="1" t="n">
        <v>45672</v>
      </c>
      <c r="C28" s="1" t="n">
        <v>45700</v>
      </c>
      <c r="D28" t="inlineStr">
        <is>
          <t>STOCKHOLMS LÄN</t>
        </is>
      </c>
      <c r="E28" t="inlineStr">
        <is>
          <t>HANINGE</t>
        </is>
      </c>
      <c r="G28" t="n">
        <v>1</v>
      </c>
      <c r="H28" t="n">
        <v>2</v>
      </c>
      <c r="I28" t="n">
        <v>2</v>
      </c>
      <c r="J28" t="n">
        <v>0</v>
      </c>
      <c r="K28" t="n">
        <v>0</v>
      </c>
      <c r="L28" t="n">
        <v>0</v>
      </c>
      <c r="M28" t="n">
        <v>0</v>
      </c>
      <c r="N28" t="n">
        <v>0</v>
      </c>
      <c r="O28" t="n">
        <v>0</v>
      </c>
      <c r="P28" t="n">
        <v>0</v>
      </c>
      <c r="Q28" t="n">
        <v>3</v>
      </c>
      <c r="R28" s="2" t="inlineStr">
        <is>
          <t>Grön sköldmossa
Stubbspretmossa
Revlummer</t>
        </is>
      </c>
      <c r="S28">
        <f>HYPERLINK("https://klasma.github.io/Logging_0136/artfynd/A 2238-2025 artfynd.xlsx", "A 2238-2025")</f>
        <v/>
      </c>
      <c r="T28">
        <f>HYPERLINK("https://klasma.github.io/Logging_0136/kartor/A 2238-2025 karta.png", "A 2238-2025")</f>
        <v/>
      </c>
      <c r="V28">
        <f>HYPERLINK("https://klasma.github.io/Logging_0136/klagomål/A 2238-2025 FSC-klagomål.docx", "A 2238-2025")</f>
        <v/>
      </c>
      <c r="W28">
        <f>HYPERLINK("https://klasma.github.io/Logging_0136/klagomålsmail/A 2238-2025 FSC-klagomål mail.docx", "A 2238-2025")</f>
        <v/>
      </c>
      <c r="X28">
        <f>HYPERLINK("https://klasma.github.io/Logging_0136/tillsyn/A 2238-2025 tillsynsbegäran.docx", "A 2238-2025")</f>
        <v/>
      </c>
      <c r="Y28">
        <f>HYPERLINK("https://klasma.github.io/Logging_0136/tillsynsmail/A 2238-2025 tillsynsbegäran mail.docx", "A 2238-2025")</f>
        <v/>
      </c>
    </row>
    <row r="29" ht="15" customHeight="1">
      <c r="A29" t="inlineStr">
        <is>
          <t>A 21187-2020</t>
        </is>
      </c>
      <c r="B29" s="1" t="n">
        <v>43951</v>
      </c>
      <c r="C29" s="1" t="n">
        <v>45700</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45700</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45700</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45700</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45700</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45700</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45700</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45700</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45700</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45700</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45700</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45700</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45700</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45700</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45700</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45700</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45700</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45700</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45700</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45700</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45700</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45700</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45700</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45700</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45700</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45700</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45700</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45700</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45700</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45700</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45700</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45700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45700</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45700</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45700</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45700</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45700</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45700</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45700</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45700</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45700</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45700</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45700</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45700</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45700</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45700</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45700</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45700</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45700</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45700</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45700</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45700</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45700</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45700</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45700</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45700</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45700</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45700</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45700</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45700</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45700</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45700</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45700</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45700</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45700</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45700</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45700</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45700</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45700</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45700</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45700</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45700</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45700</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45700</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45700</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45700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45700</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45700</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45700</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45700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45700</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45700</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45700</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45700</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45700</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45700</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45700</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45700</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45700</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45700</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45700</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45700</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45700</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45700</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45700</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45700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45700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45700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45700</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45700</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45700</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45700</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45700</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45700</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45700</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45700</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45700</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45700</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45700</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45700</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45700</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45700</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45700</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45700</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45700</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45700</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45700</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45700</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2025-02-12T15:45:14Z</dcterms:created>
  <dcterms:modified xmlns:dcterms="http://purl.org/dc/terms/" xmlns:xsi="http://www.w3.org/2001/XMLSchema-instance" xsi:type="dcterms:W3CDTF">2025-02-12T15:45:14Z</dcterms:modified>
</cp:coreProperties>
</file>