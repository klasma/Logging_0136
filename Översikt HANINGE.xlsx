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46259</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46259</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46259</v>
      </c>
      <c r="F4" t="inlineStr">
        <is>
          <t>STOCKHOLMS LÄN</t>
        </is>
      </c>
      <c r="G4" t="inlineStr">
        <is>
          <t>HANINGE</t>
        </is>
      </c>
      <c r="I4" t="n">
        <v>19.9</v>
      </c>
      <c r="J4" t="n">
        <v>14</v>
      </c>
      <c r="K4" t="n">
        <v>16</v>
      </c>
      <c r="L4" t="n">
        <v>14</v>
      </c>
      <c r="M4" t="n">
        <v>7</v>
      </c>
      <c r="N4" t="n">
        <v>0</v>
      </c>
      <c r="O4" t="n">
        <v>0</v>
      </c>
      <c r="P4" t="n">
        <v>0</v>
      </c>
      <c r="Q4" t="n">
        <v>21</v>
      </c>
      <c r="R4" t="n">
        <v>7</v>
      </c>
      <c r="S4" t="n">
        <v>46</v>
      </c>
      <c r="T4" t="n">
        <v>143</v>
      </c>
      <c r="U4" t="n">
        <v>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46259</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46259</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46259</v>
      </c>
      <c r="F7" t="inlineStr">
        <is>
          <t>STOCKHOLMS LÄN</t>
        </is>
      </c>
      <c r="G7" t="inlineStr">
        <is>
          <t>HANINGE</t>
        </is>
      </c>
      <c r="I7" t="n">
        <v>2.2</v>
      </c>
      <c r="J7" t="n">
        <v>9</v>
      </c>
      <c r="K7" t="n">
        <v>10</v>
      </c>
      <c r="L7" t="n">
        <v>12</v>
      </c>
      <c r="M7" t="n">
        <v>1</v>
      </c>
      <c r="N7" t="n">
        <v>0</v>
      </c>
      <c r="O7" t="n">
        <v>0</v>
      </c>
      <c r="P7" t="n">
        <v>0</v>
      </c>
      <c r="Q7" t="n">
        <v>13</v>
      </c>
      <c r="R7" t="n">
        <v>1</v>
      </c>
      <c r="S7" t="n">
        <v>27</v>
      </c>
      <c r="T7" t="n">
        <v>56</v>
      </c>
      <c r="U7" t="n">
        <v>36</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46259</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46259</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46259</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46259</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46259</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46259</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46259</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46259</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46259</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46259</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46259</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46259</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46259</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28861-2026</t>
        </is>
      </c>
      <c r="B21" t="inlineStr">
        <is>
          <t>avverkningsanmälan</t>
        </is>
      </c>
      <c r="C21" t="inlineStr">
        <is>
          <t>Avverkning för annat ändamål</t>
        </is>
      </c>
      <c r="D21" s="1" t="n">
        <v>46199</v>
      </c>
      <c r="E21" s="1" t="n">
        <v>46259</v>
      </c>
      <c r="F21" t="inlineStr">
        <is>
          <t>STOCKHOLMS LÄN</t>
        </is>
      </c>
      <c r="G21" t="inlineStr">
        <is>
          <t>HANINGE</t>
        </is>
      </c>
      <c r="I21" t="n">
        <v>1.3</v>
      </c>
      <c r="J21" t="n">
        <v>1</v>
      </c>
      <c r="K21" t="n">
        <v>1</v>
      </c>
      <c r="L21" t="n">
        <v>1</v>
      </c>
      <c r="M21" t="n">
        <v>0</v>
      </c>
      <c r="N21" t="n">
        <v>0</v>
      </c>
      <c r="O21" t="n">
        <v>0</v>
      </c>
      <c r="P21" t="n">
        <v>0</v>
      </c>
      <c r="Q21" t="n">
        <v>1</v>
      </c>
      <c r="R21" t="n">
        <v>0</v>
      </c>
      <c r="S21" t="n">
        <v>3</v>
      </c>
      <c r="T21" t="n">
        <v>3</v>
      </c>
      <c r="U21" t="n">
        <v>2</v>
      </c>
      <c r="V21" s="2" t="inlineStr">
        <is>
          <t>Skogshare
Grovticka
Nattskärra</t>
        </is>
      </c>
      <c r="W21">
        <f>HYPERLINK("https://klasma.github.io/Logging_0136/artfynd/A 28861-2026 artfynd.xlsx", "A 28861-2026")</f>
        <v/>
      </c>
      <c r="X21">
        <f>HYPERLINK("https://klasma.github.io/Logging_0136/kartor/A 28861-2026 karta.png", "A 28861-2026")</f>
        <v/>
      </c>
      <c r="Y21">
        <f>HYPERLINK("https://klasma.github.io/Logging_0136/kartor_geotiff/A 28861-2026 georefererad karta.tif", "A 28861-2026")</f>
        <v/>
      </c>
      <c r="AA21">
        <f>HYPERLINK("https://klasma.github.io/Logging_0136/klagomål/A 28861-2026 FSC-klagomål.docx", "A 28861-2026")</f>
        <v/>
      </c>
      <c r="AB21">
        <f>HYPERLINK("https://klasma.github.io/Logging_0136/klagomålsmail/A 28861-2026 FSC-klagomål mail.docx", "A 28861-2026")</f>
        <v/>
      </c>
      <c r="AC21">
        <f>HYPERLINK("https://klasma.github.io/Logging_0136/tillsyn/A 28861-2026 tillsynsbegäran.docx", "A 28861-2026")</f>
        <v/>
      </c>
      <c r="AD21">
        <f>HYPERLINK("https://klasma.github.io/Logging_0136/tillsynsmail/A 28861-2026 tillsynsbegäran mail.docx", "A 28861-2026")</f>
        <v/>
      </c>
      <c r="AE21">
        <f>HYPERLINK("https://klasma.github.io/Logging_0136/fåglar/A 28861-2026 prioriterade fågelarter.docx", "A 28861-2026")</f>
        <v/>
      </c>
    </row>
    <row r="22" ht="15" customHeight="1">
      <c r="A22" t="inlineStr">
        <is>
          <t>A 21231-2025</t>
        </is>
      </c>
      <c r="B22" t="inlineStr">
        <is>
          <t>avverkningsanmälan</t>
        </is>
      </c>
      <c r="C22" t="inlineStr">
        <is>
          <t>Föryngringsavverkning</t>
        </is>
      </c>
      <c r="D22" s="1" t="n">
        <v>45779</v>
      </c>
      <c r="E22" s="1" t="n">
        <v>46259</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46259</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46259</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46259</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46259</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60369-2023</t>
        </is>
      </c>
      <c r="B27" t="inlineStr">
        <is>
          <t>avverkningsanmälan</t>
        </is>
      </c>
      <c r="C27" t="inlineStr">
        <is>
          <t>Föryngringsavverkning</t>
        </is>
      </c>
      <c r="D27" s="1" t="n">
        <v>45259</v>
      </c>
      <c r="E27" s="1" t="n">
        <v>46259</v>
      </c>
      <c r="F27" t="inlineStr">
        <is>
          <t>STOCKHOLMS LÄN</t>
        </is>
      </c>
      <c r="G27" t="inlineStr">
        <is>
          <t>HANINGE</t>
        </is>
      </c>
      <c r="I27" t="n">
        <v>2.9</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HYPERLINK("https://klasma.github.io/Logging_0136/artfynd/A 60369-2023 artfynd.xlsx", "A 60369-2023")</f>
        <v/>
      </c>
      <c r="X27">
        <f>HYPERLINK("https://klasma.github.io/Logging_0136/kartor/A 60369-2023 karta.png", "A 60369-2023")</f>
        <v/>
      </c>
      <c r="Y27">
        <f>HYPERLINK("https://klasma.github.io/Logging_0136/kartor_geotiff/A 60369-2023 georefererad karta.tif", "A 60369-2023")</f>
        <v/>
      </c>
      <c r="AA27">
        <f>HYPERLINK("https://klasma.github.io/Logging_0136/klagomål/A 60369-2023 FSC-klagomål.docx", "A 60369-2023")</f>
        <v/>
      </c>
      <c r="AB27">
        <f>HYPERLINK("https://klasma.github.io/Logging_0136/klagomålsmail/A 60369-2023 FSC-klagomål mail.docx", "A 60369-2023")</f>
        <v/>
      </c>
      <c r="AC27">
        <f>HYPERLINK("https://klasma.github.io/Logging_0136/tillsyn/A 60369-2023 tillsynsbegäran.docx", "A 60369-2023")</f>
        <v/>
      </c>
      <c r="AD27">
        <f>HYPERLINK("https://klasma.github.io/Logging_0136/tillsynsmail/A 60369-2023 tillsynsbegäran mail.docx", "A 60369-2023")</f>
        <v/>
      </c>
    </row>
    <row r="28" ht="15" customHeight="1">
      <c r="A28" t="inlineStr">
        <is>
          <t>A 6648-2023</t>
        </is>
      </c>
      <c r="B28" t="inlineStr">
        <is>
          <t>avverkningsanmälan</t>
        </is>
      </c>
      <c r="C28" t="inlineStr">
        <is>
          <t>Föryngringsavverkning</t>
        </is>
      </c>
      <c r="D28" s="1" t="n">
        <v>44966</v>
      </c>
      <c r="E28" s="1" t="n">
        <v>46259</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59570-2025</t>
        </is>
      </c>
      <c r="B29" t="inlineStr">
        <is>
          <t>avverkningsanmälan</t>
        </is>
      </c>
      <c r="C29" t="inlineStr">
        <is>
          <t>Föryngringsavverkning</t>
        </is>
      </c>
      <c r="D29" s="1" t="n">
        <v>45991</v>
      </c>
      <c r="E29" s="1" t="n">
        <v>46259</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32479-2026</t>
        </is>
      </c>
      <c r="B30" t="inlineStr">
        <is>
          <t>avverkningsanmälan</t>
        </is>
      </c>
      <c r="C30" t="inlineStr">
        <is>
          <t>Föryngringsavverkning</t>
        </is>
      </c>
      <c r="D30" s="1" t="n">
        <v>46239</v>
      </c>
      <c r="E30" s="1" t="n">
        <v>46259</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46259</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46259</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46259</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46259</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46259</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46259</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46259</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46259</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46259</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46259</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46259</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46259</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46259</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64075-2023</t>
        </is>
      </c>
      <c r="B44" t="inlineStr">
        <is>
          <t>avverkningsanmälan</t>
        </is>
      </c>
      <c r="C44" t="inlineStr">
        <is>
          <t>Föryngringsavverkning</t>
        </is>
      </c>
      <c r="D44" s="1" t="n">
        <v>45279</v>
      </c>
      <c r="E44" s="1" t="n">
        <v>46259</v>
      </c>
      <c r="F44" t="inlineStr">
        <is>
          <t>STOCKHOLMS LÄN</t>
        </is>
      </c>
      <c r="G44" t="inlineStr">
        <is>
          <t>HANINGE</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50306-2023</t>
        </is>
      </c>
      <c r="B45" t="inlineStr">
        <is>
          <t>avverkningsanmälan</t>
        </is>
      </c>
      <c r="C45" t="inlineStr">
        <is>
          <t>Föryngringsavverkning</t>
        </is>
      </c>
      <c r="D45" s="1" t="n">
        <v>45209</v>
      </c>
      <c r="E45" s="1" t="n">
        <v>46259</v>
      </c>
      <c r="F45" t="inlineStr">
        <is>
          <t>STOCKHOLMS LÄN</t>
        </is>
      </c>
      <c r="G45" t="inlineStr">
        <is>
          <t>HANINGE</t>
        </is>
      </c>
      <c r="I45" t="n">
        <v>2.3</v>
      </c>
      <c r="J45" t="n">
        <v>0</v>
      </c>
      <c r="K45" t="n">
        <v>0</v>
      </c>
      <c r="L45" t="n">
        <v>0</v>
      </c>
      <c r="M45" t="n">
        <v>0</v>
      </c>
      <c r="N45" t="n">
        <v>0</v>
      </c>
      <c r="O45" t="n">
        <v>0</v>
      </c>
      <c r="P45" t="n">
        <v>0</v>
      </c>
      <c r="Q45" t="n">
        <v>0</v>
      </c>
      <c r="R45" t="n">
        <v>0</v>
      </c>
      <c r="S45" t="n">
        <v>0</v>
      </c>
      <c r="T45" t="n">
        <v>0</v>
      </c>
      <c r="U45" t="n">
        <v>0</v>
      </c>
      <c r="V45" s="2" t="inlineStr"/>
      <c r="Z45">
        <f>HYPERLINK("https://klasma.github.io/Logging_0136/knärot/A 50306-2023 karta knärot.png", "A 50306-2023")</f>
        <v/>
      </c>
      <c r="AA45">
        <f>HYPERLINK("https://klasma.github.io/Logging_0136/klagomål/A 50306-2023 FSC-klagomål.docx", "A 50306-2023")</f>
        <v/>
      </c>
      <c r="AB45">
        <f>HYPERLINK("https://klasma.github.io/Logging_0136/klagomålsmail/A 50306-2023 FSC-klagomål mail.docx", "A 50306-2023")</f>
        <v/>
      </c>
      <c r="AC45">
        <f>HYPERLINK("https://klasma.github.io/Logging_0136/tillsyn/A 50306-2023 tillsynsbegäran.docx", "A 50306-2023")</f>
        <v/>
      </c>
      <c r="AD45">
        <f>HYPERLINK("https://klasma.github.io/Logging_0136/tillsynsmail/A 50306-2023 tillsynsbegäran mail.docx", "A 50306-2023")</f>
        <v/>
      </c>
    </row>
    <row r="46" ht="15" customHeight="1">
      <c r="A46" t="inlineStr">
        <is>
          <t>A 22288-2023</t>
        </is>
      </c>
      <c r="B46" t="inlineStr">
        <is>
          <t>avverkningsanmälan</t>
        </is>
      </c>
      <c r="C46" t="inlineStr">
        <is>
          <t>Föryngringsavverkning</t>
        </is>
      </c>
      <c r="D46" s="1" t="n">
        <v>45070</v>
      </c>
      <c r="E46" s="1" t="n">
        <v>46259</v>
      </c>
      <c r="F46" t="inlineStr">
        <is>
          <t>STOCKHOLMS LÄN</t>
        </is>
      </c>
      <c r="G46" t="inlineStr">
        <is>
          <t>HANINGE</t>
        </is>
      </c>
      <c r="I46" t="n">
        <v>2.8</v>
      </c>
      <c r="J46" t="n">
        <v>0</v>
      </c>
      <c r="K46" t="n">
        <v>0</v>
      </c>
      <c r="L46" t="n">
        <v>0</v>
      </c>
      <c r="M46" t="n">
        <v>0</v>
      </c>
      <c r="N46" t="n">
        <v>0</v>
      </c>
      <c r="O46" t="n">
        <v>0</v>
      </c>
      <c r="P46" t="n">
        <v>0</v>
      </c>
      <c r="Q46" t="n">
        <v>0</v>
      </c>
      <c r="R46" t="n">
        <v>0</v>
      </c>
      <c r="S46" t="n">
        <v>0</v>
      </c>
      <c r="T46" t="n">
        <v>0</v>
      </c>
      <c r="U46" t="n">
        <v>0</v>
      </c>
      <c r="V46" s="2" t="inlineStr"/>
    </row>
    <row r="47" ht="15" customHeight="1">
      <c r="A47" t="inlineStr">
        <is>
          <t>A 33792-2023</t>
        </is>
      </c>
      <c r="B47" t="inlineStr">
        <is>
          <t>avverkningsanmälan</t>
        </is>
      </c>
      <c r="C47" t="inlineStr">
        <is>
          <t>Föryngringsavverkning</t>
        </is>
      </c>
      <c r="D47" s="1" t="n">
        <v>45121</v>
      </c>
      <c r="E47" s="1" t="n">
        <v>46259</v>
      </c>
      <c r="F47" t="inlineStr">
        <is>
          <t>STOCKHOLMS LÄN</t>
        </is>
      </c>
      <c r="G47" t="inlineStr">
        <is>
          <t>HANINGE</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27596-2025</t>
        </is>
      </c>
      <c r="B48" t="inlineStr">
        <is>
          <t>avverkningsanmälan</t>
        </is>
      </c>
      <c r="C48" t="inlineStr">
        <is>
          <t>Avverkning för att bevara och utveckla /försöksver</t>
        </is>
      </c>
      <c r="D48" s="1" t="n">
        <v>45813</v>
      </c>
      <c r="E48" s="1" t="n">
        <v>46259</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3156-2025</t>
        </is>
      </c>
      <c r="B49" t="inlineStr">
        <is>
          <t>avverkningsanmälan</t>
        </is>
      </c>
      <c r="C49" t="inlineStr">
        <is>
          <t>Föryngringsavverkning</t>
        </is>
      </c>
      <c r="D49" s="1" t="n">
        <v>45679</v>
      </c>
      <c r="E49" s="1" t="n">
        <v>46259</v>
      </c>
      <c r="F49" t="inlineStr">
        <is>
          <t>STOCKHOLMS LÄN</t>
        </is>
      </c>
      <c r="G49" t="inlineStr">
        <is>
          <t>HANINGE</t>
        </is>
      </c>
      <c r="I49" t="n">
        <v>3.3</v>
      </c>
      <c r="J49" t="n">
        <v>0</v>
      </c>
      <c r="K49" t="n">
        <v>0</v>
      </c>
      <c r="L49" t="n">
        <v>0</v>
      </c>
      <c r="M49" t="n">
        <v>0</v>
      </c>
      <c r="N49" t="n">
        <v>0</v>
      </c>
      <c r="O49" t="n">
        <v>0</v>
      </c>
      <c r="P49" t="n">
        <v>0</v>
      </c>
      <c r="Q49" t="n">
        <v>0</v>
      </c>
      <c r="R49" t="n">
        <v>0</v>
      </c>
      <c r="S49" t="n">
        <v>0</v>
      </c>
      <c r="T49" t="n">
        <v>0</v>
      </c>
      <c r="U49" t="n">
        <v>0</v>
      </c>
      <c r="V49" s="2" t="inlineStr"/>
    </row>
    <row r="50" ht="15" customHeight="1">
      <c r="A50" t="inlineStr">
        <is>
          <t>A 37000-2022</t>
        </is>
      </c>
      <c r="B50" t="inlineStr">
        <is>
          <t>avverkningsanmälan</t>
        </is>
      </c>
      <c r="C50" t="inlineStr">
        <is>
          <t>Föryngringsavverkning</t>
        </is>
      </c>
      <c r="D50" s="1" t="n">
        <v>44806</v>
      </c>
      <c r="E50" s="1" t="n">
        <v>46259</v>
      </c>
      <c r="F50" t="inlineStr">
        <is>
          <t>STOCKHOLMS LÄN</t>
        </is>
      </c>
      <c r="G50" t="inlineStr">
        <is>
          <t>HANINGE</t>
        </is>
      </c>
      <c r="H50" t="inlineStr">
        <is>
          <t>Övriga statliga verk och myndigheter</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20839-2024</t>
        </is>
      </c>
      <c r="B51" t="inlineStr">
        <is>
          <t>avverkningsanmälan</t>
        </is>
      </c>
      <c r="C51" t="inlineStr">
        <is>
          <t>Föryngringsavverkning</t>
        </is>
      </c>
      <c r="D51" s="1" t="n">
        <v>45439</v>
      </c>
      <c r="E51" s="1" t="n">
        <v>46259</v>
      </c>
      <c r="F51" t="inlineStr">
        <is>
          <t>STOCKHOLMS LÄN</t>
        </is>
      </c>
      <c r="G51" t="inlineStr">
        <is>
          <t>HANINGE</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18491-2025</t>
        </is>
      </c>
      <c r="B52" t="inlineStr">
        <is>
          <t>avverkningsanmälan</t>
        </is>
      </c>
      <c r="C52" t="inlineStr">
        <is>
          <t>Föryngringsavverkning</t>
        </is>
      </c>
      <c r="D52" s="1" t="n">
        <v>45763</v>
      </c>
      <c r="E52" s="1" t="n">
        <v>46259</v>
      </c>
      <c r="F52" t="inlineStr">
        <is>
          <t>STOCKHOLMS LÄN</t>
        </is>
      </c>
      <c r="G52" t="inlineStr">
        <is>
          <t>HANINGE</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18512-2024</t>
        </is>
      </c>
      <c r="B53" t="inlineStr">
        <is>
          <t>avverkningsanmälan</t>
        </is>
      </c>
      <c r="C53" t="inlineStr">
        <is>
          <t>Föryngringsavverkning</t>
        </is>
      </c>
      <c r="D53" s="1" t="n">
        <v>45425</v>
      </c>
      <c r="E53" s="1" t="n">
        <v>46259</v>
      </c>
      <c r="F53" t="inlineStr">
        <is>
          <t>STOCKHOLMS LÄN</t>
        </is>
      </c>
      <c r="G53" t="inlineStr">
        <is>
          <t>HANINGE</t>
        </is>
      </c>
      <c r="H53" t="inlineStr">
        <is>
          <t>Kommuner</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14264-2025</t>
        </is>
      </c>
      <c r="B54" t="inlineStr">
        <is>
          <t>avverkningsanmälan</t>
        </is>
      </c>
      <c r="C54" t="inlineStr">
        <is>
          <t>Föryngringsavverkning</t>
        </is>
      </c>
      <c r="D54" s="1" t="n">
        <v>45740</v>
      </c>
      <c r="E54" s="1" t="n">
        <v>46259</v>
      </c>
      <c r="F54" t="inlineStr">
        <is>
          <t>STOCKHOLMS LÄN</t>
        </is>
      </c>
      <c r="G54" t="inlineStr">
        <is>
          <t>HANINGE</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4297-2024</t>
        </is>
      </c>
      <c r="B55" t="inlineStr">
        <is>
          <t>avverkningsanmälan</t>
        </is>
      </c>
      <c r="C55" t="inlineStr">
        <is>
          <t>Föryngringsavverkning</t>
        </is>
      </c>
      <c r="D55" s="1" t="n">
        <v>45324</v>
      </c>
      <c r="E55" s="1" t="n">
        <v>46259</v>
      </c>
      <c r="F55" t="inlineStr">
        <is>
          <t>STOCKHOLMS LÄN</t>
        </is>
      </c>
      <c r="G55" t="inlineStr">
        <is>
          <t>HANINGE</t>
        </is>
      </c>
      <c r="H55" t="inlineStr">
        <is>
          <t>Kommuner</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68896-2021</t>
        </is>
      </c>
      <c r="B56" t="inlineStr">
        <is>
          <t>avverkningsanmälan</t>
        </is>
      </c>
      <c r="C56" t="inlineStr">
        <is>
          <t>Föryngringsavverkning</t>
        </is>
      </c>
      <c r="D56" s="1" t="n">
        <v>44526</v>
      </c>
      <c r="E56" s="1" t="n">
        <v>46259</v>
      </c>
      <c r="F56" t="inlineStr">
        <is>
          <t>STOCKHOLMS LÄN</t>
        </is>
      </c>
      <c r="G56" t="inlineStr">
        <is>
          <t>HANINGE</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17765-2024</t>
        </is>
      </c>
      <c r="B57" t="inlineStr">
        <is>
          <t>avverkningsanmälan</t>
        </is>
      </c>
      <c r="C57" t="inlineStr">
        <is>
          <t>Föryngringsavverkning</t>
        </is>
      </c>
      <c r="D57" s="1" t="n">
        <v>45418</v>
      </c>
      <c r="E57" s="1" t="n">
        <v>46259</v>
      </c>
      <c r="F57" t="inlineStr">
        <is>
          <t>STOCKHOLMS LÄN</t>
        </is>
      </c>
      <c r="G57" t="inlineStr">
        <is>
          <t>HANINGE</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25584-2023</t>
        </is>
      </c>
      <c r="B58" t="inlineStr">
        <is>
          <t>avverkningsanmälan</t>
        </is>
      </c>
      <c r="C58" t="inlineStr">
        <is>
          <t>Föryngringsavverkning</t>
        </is>
      </c>
      <c r="D58" s="1" t="n">
        <v>45089</v>
      </c>
      <c r="E58" s="1" t="n">
        <v>46259</v>
      </c>
      <c r="F58" t="inlineStr">
        <is>
          <t>STOCKHOLMS LÄN</t>
        </is>
      </c>
      <c r="G58" t="inlineStr">
        <is>
          <t>HANINGE</t>
        </is>
      </c>
      <c r="I58" t="n">
        <v>4.8</v>
      </c>
      <c r="J58" t="n">
        <v>0</v>
      </c>
      <c r="K58" t="n">
        <v>0</v>
      </c>
      <c r="L58" t="n">
        <v>0</v>
      </c>
      <c r="M58" t="n">
        <v>0</v>
      </c>
      <c r="N58" t="n">
        <v>0</v>
      </c>
      <c r="O58" t="n">
        <v>0</v>
      </c>
      <c r="P58" t="n">
        <v>0</v>
      </c>
      <c r="Q58" t="n">
        <v>0</v>
      </c>
      <c r="R58" t="n">
        <v>0</v>
      </c>
      <c r="S58" t="n">
        <v>0</v>
      </c>
      <c r="T58" t="n">
        <v>0</v>
      </c>
      <c r="U58" t="n">
        <v>0</v>
      </c>
      <c r="V58" s="2" t="inlineStr"/>
    </row>
    <row r="59" ht="15" customHeight="1">
      <c r="A59" t="inlineStr">
        <is>
          <t>A 20527-2025</t>
        </is>
      </c>
      <c r="B59" t="inlineStr">
        <is>
          <t>avverkningsanmälan</t>
        </is>
      </c>
      <c r="C59" t="inlineStr">
        <is>
          <t>Föryngringsavverkning</t>
        </is>
      </c>
      <c r="D59" s="1" t="n">
        <v>45775</v>
      </c>
      <c r="E59" s="1" t="n">
        <v>46259</v>
      </c>
      <c r="F59" t="inlineStr">
        <is>
          <t>STOCKHOLMS LÄN</t>
        </is>
      </c>
      <c r="G59" t="inlineStr">
        <is>
          <t>HANINGE</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58599-2023</t>
        </is>
      </c>
      <c r="B60" t="inlineStr">
        <is>
          <t>avverkningsanmälan</t>
        </is>
      </c>
      <c r="C60" t="inlineStr">
        <is>
          <t>Föryngringsavverkning</t>
        </is>
      </c>
      <c r="D60" s="1" t="n">
        <v>45251</v>
      </c>
      <c r="E60" s="1" t="n">
        <v>46259</v>
      </c>
      <c r="F60" t="inlineStr">
        <is>
          <t>STOCKHOLMS LÄN</t>
        </is>
      </c>
      <c r="G60" t="inlineStr">
        <is>
          <t>HANINGE</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18528-2024</t>
        </is>
      </c>
      <c r="B61" t="inlineStr">
        <is>
          <t>avverkningsanmälan</t>
        </is>
      </c>
      <c r="C61" t="inlineStr">
        <is>
          <t>Föryngringsavverkning</t>
        </is>
      </c>
      <c r="D61" s="1" t="n">
        <v>45425</v>
      </c>
      <c r="E61" s="1" t="n">
        <v>46259</v>
      </c>
      <c r="F61" t="inlineStr">
        <is>
          <t>STOCKHOLMS LÄN</t>
        </is>
      </c>
      <c r="G61" t="inlineStr">
        <is>
          <t>HANINGE</t>
        </is>
      </c>
      <c r="H61" t="inlineStr">
        <is>
          <t>Kommuner</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48606-2025</t>
        </is>
      </c>
      <c r="B62" t="inlineStr">
        <is>
          <t>avverkningsanmälan</t>
        </is>
      </c>
      <c r="C62" t="inlineStr">
        <is>
          <t>Föryngringsavverkning</t>
        </is>
      </c>
      <c r="D62" s="1" t="n">
        <v>45936</v>
      </c>
      <c r="E62" s="1" t="n">
        <v>46259</v>
      </c>
      <c r="F62" t="inlineStr">
        <is>
          <t>STOCKHOLMS LÄN</t>
        </is>
      </c>
      <c r="G62" t="inlineStr">
        <is>
          <t>HANINGE</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32948-2025</t>
        </is>
      </c>
      <c r="B63" t="inlineStr">
        <is>
          <t>avverkningsanmälan</t>
        </is>
      </c>
      <c r="C63" t="inlineStr">
        <is>
          <t>Föryngringsavverkning</t>
        </is>
      </c>
      <c r="D63" s="1" t="n">
        <v>45839</v>
      </c>
      <c r="E63" s="1" t="n">
        <v>46259</v>
      </c>
      <c r="F63" t="inlineStr">
        <is>
          <t>STOCKHOLMS LÄN</t>
        </is>
      </c>
      <c r="G63" t="inlineStr">
        <is>
          <t>HANINGE</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46259</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52770-2024</t>
        </is>
      </c>
      <c r="B65" t="inlineStr">
        <is>
          <t>avverkningsanmälan</t>
        </is>
      </c>
      <c r="C65" t="inlineStr">
        <is>
          <t>Föryngringsavverkning</t>
        </is>
      </c>
      <c r="D65" s="1" t="n">
        <v>45610</v>
      </c>
      <c r="E65" s="1" t="n">
        <v>46259</v>
      </c>
      <c r="F65" t="inlineStr">
        <is>
          <t>STOCKHOLMS LÄN</t>
        </is>
      </c>
      <c r="G65" t="inlineStr">
        <is>
          <t>HANINGE</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19220-2023</t>
        </is>
      </c>
      <c r="B66" t="inlineStr">
        <is>
          <t>avverkningsanmälan</t>
        </is>
      </c>
      <c r="C66" t="inlineStr">
        <is>
          <t>Föryngringsavverkning</t>
        </is>
      </c>
      <c r="D66" s="1" t="n">
        <v>45048</v>
      </c>
      <c r="E66" s="1" t="n">
        <v>46259</v>
      </c>
      <c r="F66" t="inlineStr">
        <is>
          <t>STOCKHOLMS LÄN</t>
        </is>
      </c>
      <c r="G66" t="inlineStr">
        <is>
          <t>HANINGE</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18490-2025</t>
        </is>
      </c>
      <c r="B67" t="inlineStr">
        <is>
          <t>avverkningsanmälan</t>
        </is>
      </c>
      <c r="C67" t="inlineStr">
        <is>
          <t>Föryngringsavverkning</t>
        </is>
      </c>
      <c r="D67" s="1" t="n">
        <v>45763</v>
      </c>
      <c r="E67" s="1" t="n">
        <v>46259</v>
      </c>
      <c r="F67" t="inlineStr">
        <is>
          <t>STOCKHOLMS LÄN</t>
        </is>
      </c>
      <c r="G67" t="inlineStr">
        <is>
          <t>HANINGE</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64568-2023</t>
        </is>
      </c>
      <c r="B68" t="inlineStr">
        <is>
          <t>avverkningsanmälan</t>
        </is>
      </c>
      <c r="C68" t="inlineStr">
        <is>
          <t>Föryngringsavverkning</t>
        </is>
      </c>
      <c r="D68" s="1" t="n">
        <v>45281</v>
      </c>
      <c r="E68" s="1" t="n">
        <v>46259</v>
      </c>
      <c r="F68" t="inlineStr">
        <is>
          <t>STOCKHOLMS LÄN</t>
        </is>
      </c>
      <c r="G68" t="inlineStr">
        <is>
          <t>HANINGE</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18548-2024</t>
        </is>
      </c>
      <c r="B69" t="inlineStr">
        <is>
          <t>avverkningsanmälan</t>
        </is>
      </c>
      <c r="C69" t="inlineStr">
        <is>
          <t>Föryngringsavverkning</t>
        </is>
      </c>
      <c r="D69" s="1" t="n">
        <v>45425</v>
      </c>
      <c r="E69" s="1" t="n">
        <v>46259</v>
      </c>
      <c r="F69" t="inlineStr">
        <is>
          <t>STOCKHOLMS LÄN</t>
        </is>
      </c>
      <c r="G69" t="inlineStr">
        <is>
          <t>HANINGE</t>
        </is>
      </c>
      <c r="H69" t="inlineStr">
        <is>
          <t>Kommuner</t>
        </is>
      </c>
      <c r="I69" t="n">
        <v>7.3</v>
      </c>
      <c r="J69" t="n">
        <v>0</v>
      </c>
      <c r="K69" t="n">
        <v>0</v>
      </c>
      <c r="L69" t="n">
        <v>0</v>
      </c>
      <c r="M69" t="n">
        <v>0</v>
      </c>
      <c r="N69" t="n">
        <v>0</v>
      </c>
      <c r="O69" t="n">
        <v>0</v>
      </c>
      <c r="P69" t="n">
        <v>0</v>
      </c>
      <c r="Q69" t="n">
        <v>0</v>
      </c>
      <c r="R69" t="n">
        <v>0</v>
      </c>
      <c r="S69" t="n">
        <v>0</v>
      </c>
      <c r="T69" t="n">
        <v>0</v>
      </c>
      <c r="U69" t="n">
        <v>0</v>
      </c>
      <c r="V69" s="2" t="inlineStr"/>
    </row>
    <row r="70" ht="15" customHeight="1">
      <c r="A70" t="inlineStr">
        <is>
          <t>A 68894-2021</t>
        </is>
      </c>
      <c r="B70" t="inlineStr">
        <is>
          <t>avverkningsanmälan</t>
        </is>
      </c>
      <c r="C70" t="inlineStr">
        <is>
          <t>Föryngringsavverkning</t>
        </is>
      </c>
      <c r="D70" s="1" t="n">
        <v>44526</v>
      </c>
      <c r="E70" s="1" t="n">
        <v>46259</v>
      </c>
      <c r="F70" t="inlineStr">
        <is>
          <t>STOCKHOLMS LÄN</t>
        </is>
      </c>
      <c r="G70" t="inlineStr">
        <is>
          <t>HANINGE</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24800-2026</t>
        </is>
      </c>
      <c r="B71" t="inlineStr">
        <is>
          <t>avverkningsanmälan</t>
        </is>
      </c>
      <c r="C71" t="inlineStr">
        <is>
          <t>Föryngringsavverkning</t>
        </is>
      </c>
      <c r="D71" s="1" t="n">
        <v>46171</v>
      </c>
      <c r="E71" s="1" t="n">
        <v>46259</v>
      </c>
      <c r="F71" t="inlineStr">
        <is>
          <t>STOCKHOLMS LÄN</t>
        </is>
      </c>
      <c r="G71" t="inlineStr">
        <is>
          <t>HANINGE</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13046-2022</t>
        </is>
      </c>
      <c r="B72" t="inlineStr">
        <is>
          <t>avverkningsanmälan</t>
        </is>
      </c>
      <c r="C72" t="inlineStr">
        <is>
          <t>Föryngringsavverkning</t>
        </is>
      </c>
      <c r="D72" s="1" t="n">
        <v>44643</v>
      </c>
      <c r="E72" s="1" t="n">
        <v>46259</v>
      </c>
      <c r="F72" t="inlineStr">
        <is>
          <t>STOCKHOLMS LÄN</t>
        </is>
      </c>
      <c r="G72" t="inlineStr">
        <is>
          <t>HANINGE</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26417-2026</t>
        </is>
      </c>
      <c r="B73" t="inlineStr">
        <is>
          <t>avverkningsanmälan</t>
        </is>
      </c>
      <c r="C73" t="inlineStr">
        <is>
          <t>Föryngringsavverkning</t>
        </is>
      </c>
      <c r="D73" s="1" t="n">
        <v>46183</v>
      </c>
      <c r="E73" s="1" t="n">
        <v>46259</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26886-2026</t>
        </is>
      </c>
      <c r="B74" t="inlineStr">
        <is>
          <t>avverkningsanmälan</t>
        </is>
      </c>
      <c r="C74" t="inlineStr">
        <is>
          <t>Avverkning för annat ändamål</t>
        </is>
      </c>
      <c r="D74" s="1" t="n">
        <v>46185</v>
      </c>
      <c r="E74" s="1" t="n">
        <v>46259</v>
      </c>
      <c r="F74" t="inlineStr">
        <is>
          <t>STOCKHOLMS LÄN</t>
        </is>
      </c>
      <c r="G74" t="inlineStr">
        <is>
          <t>HANINGE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8078-2024</t>
        </is>
      </c>
      <c r="B75" t="inlineStr">
        <is>
          <t>avverkningsanmälan</t>
        </is>
      </c>
      <c r="C75" t="inlineStr">
        <is>
          <t>Föryngringsavverkning</t>
        </is>
      </c>
      <c r="D75" s="1" t="n">
        <v>45351</v>
      </c>
      <c r="E75" s="1" t="n">
        <v>46259</v>
      </c>
      <c r="F75" t="inlineStr">
        <is>
          <t>STOCKHOLMS LÄN</t>
        </is>
      </c>
      <c r="G75" t="inlineStr">
        <is>
          <t>HANINGE</t>
        </is>
      </c>
      <c r="H75" t="inlineStr">
        <is>
          <t>Kommuner</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24873-2023</t>
        </is>
      </c>
      <c r="B76" t="inlineStr">
        <is>
          <t>avverkningsanmälan</t>
        </is>
      </c>
      <c r="C76" t="inlineStr">
        <is>
          <t>Föryngringsavverkning</t>
        </is>
      </c>
      <c r="D76" s="1" t="n">
        <v>45085</v>
      </c>
      <c r="E76" s="1" t="n">
        <v>46259</v>
      </c>
      <c r="F76" t="inlineStr">
        <is>
          <t>STOCKHOLMS LÄN</t>
        </is>
      </c>
      <c r="G76" t="inlineStr">
        <is>
          <t>HANINGE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23666-2024</t>
        </is>
      </c>
      <c r="B77" t="inlineStr">
        <is>
          <t>avverkningsanmälan</t>
        </is>
      </c>
      <c r="C77" t="inlineStr">
        <is>
          <t>Föryngringsavverkning</t>
        </is>
      </c>
      <c r="D77" s="1" t="n">
        <v>45454</v>
      </c>
      <c r="E77" s="1" t="n">
        <v>46259</v>
      </c>
      <c r="F77" t="inlineStr">
        <is>
          <t>STOCKHOLMS LÄN</t>
        </is>
      </c>
      <c r="G77" t="inlineStr">
        <is>
          <t>HANINGE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59569-2025</t>
        </is>
      </c>
      <c r="B78" t="inlineStr">
        <is>
          <t>avverkningsanmälan</t>
        </is>
      </c>
      <c r="C78" t="inlineStr">
        <is>
          <t>Föryngringsavverkning</t>
        </is>
      </c>
      <c r="D78" s="1" t="n">
        <v>45991</v>
      </c>
      <c r="E78" s="1" t="n">
        <v>46259</v>
      </c>
      <c r="F78" t="inlineStr">
        <is>
          <t>STOCKHOLMS LÄN</t>
        </is>
      </c>
      <c r="G78" t="inlineStr">
        <is>
          <t>HANINGE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9946-2024</t>
        </is>
      </c>
      <c r="B79" t="inlineStr">
        <is>
          <t>avverkningsanmälan</t>
        </is>
      </c>
      <c r="C79" t="inlineStr">
        <is>
          <t>Föryngringsavverkning</t>
        </is>
      </c>
      <c r="D79" s="1" t="n">
        <v>45363</v>
      </c>
      <c r="E79" s="1" t="n">
        <v>46259</v>
      </c>
      <c r="F79" t="inlineStr">
        <is>
          <t>STOCKHOLMS LÄN</t>
        </is>
      </c>
      <c r="G79" t="inlineStr">
        <is>
          <t>HANINGE</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32486-2026</t>
        </is>
      </c>
      <c r="B80" t="inlineStr">
        <is>
          <t>avverkningsanmälan</t>
        </is>
      </c>
      <c r="C80" t="inlineStr">
        <is>
          <t>Föryngringsavverkning</t>
        </is>
      </c>
      <c r="D80" s="1" t="n">
        <v>46239</v>
      </c>
      <c r="E80" s="1" t="n">
        <v>46259</v>
      </c>
      <c r="F80" t="inlineStr">
        <is>
          <t>STOCKHOLMS LÄN</t>
        </is>
      </c>
      <c r="G80" t="inlineStr">
        <is>
          <t>HANINGE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52836-2024</t>
        </is>
      </c>
      <c r="B81" t="inlineStr">
        <is>
          <t>avverkningsanmälan</t>
        </is>
      </c>
      <c r="C81" t="inlineStr">
        <is>
          <t>Föryngringsavverkning</t>
        </is>
      </c>
      <c r="D81" s="1" t="n">
        <v>45610</v>
      </c>
      <c r="E81" s="1" t="n">
        <v>46259</v>
      </c>
      <c r="F81" t="inlineStr">
        <is>
          <t>STOCKHOLMS LÄN</t>
        </is>
      </c>
      <c r="G81" t="inlineStr">
        <is>
          <t>HANINGE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5474-2024</t>
        </is>
      </c>
      <c r="B82" t="inlineStr">
        <is>
          <t>avverkningsanmälan</t>
        </is>
      </c>
      <c r="C82" t="inlineStr">
        <is>
          <t>Föryngringsavverkning</t>
        </is>
      </c>
      <c r="D82" s="1" t="n">
        <v>45333</v>
      </c>
      <c r="E82" s="1" t="n">
        <v>46259</v>
      </c>
      <c r="F82" t="inlineStr">
        <is>
          <t>STOCKHOLMS LÄN</t>
        </is>
      </c>
      <c r="G82" t="inlineStr">
        <is>
          <t>HANINGE</t>
        </is>
      </c>
      <c r="H82" t="inlineStr">
        <is>
          <t>Kommuner</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14900-2025</t>
        </is>
      </c>
      <c r="B83" t="inlineStr">
        <is>
          <t>avverkningsanmälan</t>
        </is>
      </c>
      <c r="C83" t="inlineStr">
        <is>
          <t>Föryngringsavverkning</t>
        </is>
      </c>
      <c r="D83" s="1" t="n">
        <v>45743</v>
      </c>
      <c r="E83" s="1" t="n">
        <v>46259</v>
      </c>
      <c r="F83" t="inlineStr">
        <is>
          <t>STOCKHOLMS LÄN</t>
        </is>
      </c>
      <c r="G83" t="inlineStr">
        <is>
          <t>HANINGE</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24193-2025</t>
        </is>
      </c>
      <c r="B84" t="inlineStr">
        <is>
          <t>avverkningsanmälan</t>
        </is>
      </c>
      <c r="C84" t="inlineStr">
        <is>
          <t>Föryngringsavverkning</t>
        </is>
      </c>
      <c r="D84" s="1" t="n">
        <v>45796</v>
      </c>
      <c r="E84" s="1" t="n">
        <v>46259</v>
      </c>
      <c r="F84" t="inlineStr">
        <is>
          <t>STOCKHOLMS LÄN</t>
        </is>
      </c>
      <c r="G84" t="inlineStr">
        <is>
          <t>HANINGE</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12787-2026</t>
        </is>
      </c>
      <c r="B85" t="inlineStr">
        <is>
          <t>avverkningsanmälan</t>
        </is>
      </c>
      <c r="C85" t="inlineStr">
        <is>
          <t>Föryngringsavverkning</t>
        </is>
      </c>
      <c r="D85" s="1" t="n">
        <v>46091</v>
      </c>
      <c r="E85" s="1" t="n">
        <v>46259</v>
      </c>
      <c r="F85" t="inlineStr">
        <is>
          <t>STOCKHOLMS LÄN</t>
        </is>
      </c>
      <c r="G85" t="inlineStr">
        <is>
          <t>HANINGE</t>
        </is>
      </c>
      <c r="I85" t="n">
        <v>4</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46259</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2026-08-25T01:49:44Z</dcterms:created>
  <dcterms:modified xmlns:dcterms="http://purl.org/dc/terms/" xmlns:xsi="http://www.w3.org/2001/XMLSchema-instance" xsi:type="dcterms:W3CDTF">2026-08-25T01:49:44Z</dcterms:modified>
</cp:coreProperties>
</file>