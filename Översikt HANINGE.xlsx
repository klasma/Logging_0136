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45701</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45701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45701</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45701</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45701</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45701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45701</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25567-2023</t>
        </is>
      </c>
      <c r="B9" s="1" t="n">
        <v>45089</v>
      </c>
      <c r="C9" s="1" t="n">
        <v>45701</v>
      </c>
      <c r="D9" t="inlineStr">
        <is>
          <t>STOCKHOLMS LÄN</t>
        </is>
      </c>
      <c r="E9" t="inlineStr">
        <is>
          <t>HANINGE</t>
        </is>
      </c>
      <c r="F9" t="inlineStr">
        <is>
          <t>Övriga Aktiebolag</t>
        </is>
      </c>
      <c r="G9" t="n">
        <v>10.9</v>
      </c>
      <c r="H9" t="n">
        <v>4</v>
      </c>
      <c r="I9" t="n">
        <v>11</v>
      </c>
      <c r="J9" t="n">
        <v>2</v>
      </c>
      <c r="K9" t="n">
        <v>0</v>
      </c>
      <c r="L9" t="n">
        <v>0</v>
      </c>
      <c r="M9" t="n">
        <v>0</v>
      </c>
      <c r="N9" t="n">
        <v>0</v>
      </c>
      <c r="O9" t="n">
        <v>2</v>
      </c>
      <c r="P9" t="n">
        <v>0</v>
      </c>
      <c r="Q9" t="n">
        <v>15</v>
      </c>
      <c r="R9" s="2" t="inlineStr">
        <is>
          <t>Granticka
Vedtrappmossa
Bronshjon
Granbarkgnagare
Grön sköldmossa
Korallrot
Källmossor
Mörk husmossa
Rävticka
Stubbspretmossa
Svart trolldruva
Vedticka
Vågbandad barkbock
Mattlummer
Revlummer</t>
        </is>
      </c>
      <c r="S9">
        <f>HYPERLINK("https://klasma.github.io/Logging_0136/artfynd/A 25567-2023 artfynd.xlsx", "A 25567-2023")</f>
        <v/>
      </c>
      <c r="T9">
        <f>HYPERLINK("https://klasma.github.io/Logging_0136/kartor/A 25567-2023 karta.png", "A 25567-2023")</f>
        <v/>
      </c>
      <c r="V9">
        <f>HYPERLINK("https://klasma.github.io/Logging_0136/klagomål/A 25567-2023 FSC-klagomål.docx", "A 25567-2023")</f>
        <v/>
      </c>
      <c r="W9">
        <f>HYPERLINK("https://klasma.github.io/Logging_0136/klagomålsmail/A 25567-2023 FSC-klagomål mail.docx", "A 25567-2023")</f>
        <v/>
      </c>
      <c r="X9">
        <f>HYPERLINK("https://klasma.github.io/Logging_0136/tillsyn/A 25567-2023 tillsynsbegäran.docx", "A 25567-2023")</f>
        <v/>
      </c>
      <c r="Y9">
        <f>HYPERLINK("https://klasma.github.io/Logging_0136/tillsynsmail/A 25567-2023 tillsynsbegäran mail.docx", "A 25567-2023")</f>
        <v/>
      </c>
    </row>
    <row r="10" ht="15" customHeight="1">
      <c r="A10" t="inlineStr">
        <is>
          <t>A 2215-2025</t>
        </is>
      </c>
      <c r="B10" s="1" t="n">
        <v>45672</v>
      </c>
      <c r="C10" s="1" t="n">
        <v>45701</v>
      </c>
      <c r="D10" t="inlineStr">
        <is>
          <t>STOCKHOLMS LÄN</t>
        </is>
      </c>
      <c r="E10" t="inlineStr">
        <is>
          <t>HANINGE</t>
        </is>
      </c>
      <c r="G10" t="n">
        <v>2.3</v>
      </c>
      <c r="H10" t="n">
        <v>4</v>
      </c>
      <c r="I10" t="n">
        <v>8</v>
      </c>
      <c r="J10" t="n">
        <v>4</v>
      </c>
      <c r="K10" t="n">
        <v>1</v>
      </c>
      <c r="L10" t="n">
        <v>0</v>
      </c>
      <c r="M10" t="n">
        <v>0</v>
      </c>
      <c r="N10" t="n">
        <v>0</v>
      </c>
      <c r="O10" t="n">
        <v>5</v>
      </c>
      <c r="P10" t="n">
        <v>1</v>
      </c>
      <c r="Q10" t="n">
        <v>15</v>
      </c>
      <c r="R10" s="2" t="inlineStr">
        <is>
          <t>Knärot
Grönhjon
Reliktbock
Spillkråka
Tallticka
Björksplintborre
Blåmossa
Bronshjon
Granbarkgnagare
Stubbspretmossa
Sårläka
Thomsons trägnagare
Vågbandad barkbock
Mattlummer
Revlummer</t>
        </is>
      </c>
      <c r="S10">
        <f>HYPERLINK("https://klasma.github.io/Logging_0136/artfynd/A 2215-2025 artfynd.xlsx", "A 2215-2025")</f>
        <v/>
      </c>
      <c r="T10">
        <f>HYPERLINK("https://klasma.github.io/Logging_0136/kartor/A 2215-2025 karta.png", "A 2215-2025")</f>
        <v/>
      </c>
      <c r="U10">
        <f>HYPERLINK("https://klasma.github.io/Logging_0136/knärot/A 2215-2025 karta knärot.png", "A 2215-2025")</f>
        <v/>
      </c>
      <c r="V10">
        <f>HYPERLINK("https://klasma.github.io/Logging_0136/klagomål/A 2215-2025 FSC-klagomål.docx", "A 2215-2025")</f>
        <v/>
      </c>
      <c r="W10">
        <f>HYPERLINK("https://klasma.github.io/Logging_0136/klagomålsmail/A 2215-2025 FSC-klagomål mail.docx", "A 2215-2025")</f>
        <v/>
      </c>
      <c r="X10">
        <f>HYPERLINK("https://klasma.github.io/Logging_0136/tillsyn/A 2215-2025 tillsynsbegäran.docx", "A 2215-2025")</f>
        <v/>
      </c>
      <c r="Y10">
        <f>HYPERLINK("https://klasma.github.io/Logging_0136/tillsynsmail/A 2215-2025 tillsynsbegäran mail.docx", "A 2215-2025")</f>
        <v/>
      </c>
      <c r="Z10">
        <f>HYPERLINK("https://klasma.github.io/Logging_0136/fåglar/A 2215-2025 prioriterade fågelarter.docx", "A 2215-2025")</f>
        <v/>
      </c>
    </row>
    <row r="11" ht="15" customHeight="1">
      <c r="A11" t="inlineStr">
        <is>
          <t>A 34343-2023</t>
        </is>
      </c>
      <c r="B11" s="1" t="n">
        <v>45139</v>
      </c>
      <c r="C11" s="1" t="n">
        <v>45701</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45701</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45701</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45701</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45701</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45701</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45701</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45701</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45701</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45701</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45701</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45701</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45701</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13892-2020</t>
        </is>
      </c>
      <c r="B24" s="1" t="n">
        <v>43906</v>
      </c>
      <c r="C24" s="1" t="n">
        <v>45701</v>
      </c>
      <c r="D24" t="inlineStr">
        <is>
          <t>STOCKHOLMS LÄN</t>
        </is>
      </c>
      <c r="E24" t="inlineStr">
        <is>
          <t>HANINGE</t>
        </is>
      </c>
      <c r="G24" t="n">
        <v>2.7</v>
      </c>
      <c r="H24" t="n">
        <v>0</v>
      </c>
      <c r="I24" t="n">
        <v>1</v>
      </c>
      <c r="J24" t="n">
        <v>2</v>
      </c>
      <c r="K24" t="n">
        <v>0</v>
      </c>
      <c r="L24" t="n">
        <v>0</v>
      </c>
      <c r="M24" t="n">
        <v>0</v>
      </c>
      <c r="N24" t="n">
        <v>0</v>
      </c>
      <c r="O24" t="n">
        <v>2</v>
      </c>
      <c r="P24" t="n">
        <v>0</v>
      </c>
      <c r="Q24" t="n">
        <v>3</v>
      </c>
      <c r="R24" s="2" t="inlineStr">
        <is>
          <t>Ekticka
Ullticka
Fjällig taggsvamp s.str.</t>
        </is>
      </c>
      <c r="S24">
        <f>HYPERLINK("https://klasma.github.io/Logging_0136/artfynd/A 13892-2020 artfynd.xlsx", "A 13892-2020")</f>
        <v/>
      </c>
      <c r="T24">
        <f>HYPERLINK("https://klasma.github.io/Logging_0136/kartor/A 13892-2020 karta.png", "A 13892-2020")</f>
        <v/>
      </c>
      <c r="V24">
        <f>HYPERLINK("https://klasma.github.io/Logging_0136/klagomål/A 13892-2020 FSC-klagomål.docx", "A 13892-2020")</f>
        <v/>
      </c>
      <c r="W24">
        <f>HYPERLINK("https://klasma.github.io/Logging_0136/klagomålsmail/A 13892-2020 FSC-klagomål mail.docx", "A 13892-2020")</f>
        <v/>
      </c>
      <c r="X24">
        <f>HYPERLINK("https://klasma.github.io/Logging_0136/tillsyn/A 13892-2020 tillsynsbegäran.docx", "A 13892-2020")</f>
        <v/>
      </c>
      <c r="Y24">
        <f>HYPERLINK("https://klasma.github.io/Logging_0136/tillsynsmail/A 13892-2020 tillsynsbegäran mail.docx", "A 13892-2020")</f>
        <v/>
      </c>
    </row>
    <row r="25" ht="15" customHeight="1">
      <c r="A25" t="inlineStr">
        <is>
          <t>A 6646-2023</t>
        </is>
      </c>
      <c r="B25" s="1" t="n">
        <v>44966</v>
      </c>
      <c r="C25" s="1" t="n">
        <v>45701</v>
      </c>
      <c r="D25" t="inlineStr">
        <is>
          <t>STOCKHOLMS LÄN</t>
        </is>
      </c>
      <c r="E25" t="inlineStr">
        <is>
          <t>HANINGE</t>
        </is>
      </c>
      <c r="G25" t="n">
        <v>6.9</v>
      </c>
      <c r="H25" t="n">
        <v>0</v>
      </c>
      <c r="I25" t="n">
        <v>2</v>
      </c>
      <c r="J25" t="n">
        <v>0</v>
      </c>
      <c r="K25" t="n">
        <v>0</v>
      </c>
      <c r="L25" t="n">
        <v>1</v>
      </c>
      <c r="M25" t="n">
        <v>0</v>
      </c>
      <c r="N25" t="n">
        <v>0</v>
      </c>
      <c r="O25" t="n">
        <v>1</v>
      </c>
      <c r="P25" t="n">
        <v>1</v>
      </c>
      <c r="Q25" t="n">
        <v>3</v>
      </c>
      <c r="R25" s="2" t="inlineStr">
        <is>
          <t>Ask
Stubbspretmossa
Tibast</t>
        </is>
      </c>
      <c r="S25">
        <f>HYPERLINK("https://klasma.github.io/Logging_0136/artfynd/A 6646-2023 artfynd.xlsx", "A 6646-2023")</f>
        <v/>
      </c>
      <c r="T25">
        <f>HYPERLINK("https://klasma.github.io/Logging_0136/kartor/A 6646-2023 karta.png", "A 6646-2023")</f>
        <v/>
      </c>
      <c r="V25">
        <f>HYPERLINK("https://klasma.github.io/Logging_0136/klagomål/A 6646-2023 FSC-klagomål.docx", "A 6646-2023")</f>
        <v/>
      </c>
      <c r="W25">
        <f>HYPERLINK("https://klasma.github.io/Logging_0136/klagomålsmail/A 6646-2023 FSC-klagomål mail.docx", "A 6646-2023")</f>
        <v/>
      </c>
      <c r="X25">
        <f>HYPERLINK("https://klasma.github.io/Logging_0136/tillsyn/A 6646-2023 tillsynsbegäran.docx", "A 6646-2023")</f>
        <v/>
      </c>
      <c r="Y25">
        <f>HYPERLINK("https://klasma.github.io/Logging_0136/tillsynsmail/A 6646-2023 tillsynsbegäran mail.docx", "A 6646-2023")</f>
        <v/>
      </c>
    </row>
    <row r="26" ht="15" customHeight="1">
      <c r="A26" t="inlineStr">
        <is>
          <t>A 47707-2023</t>
        </is>
      </c>
      <c r="B26" s="1" t="n">
        <v>45203</v>
      </c>
      <c r="C26" s="1" t="n">
        <v>45701</v>
      </c>
      <c r="D26" t="inlineStr">
        <is>
          <t>STOCKHOLMS LÄN</t>
        </is>
      </c>
      <c r="E26" t="inlineStr">
        <is>
          <t>HANINGE</t>
        </is>
      </c>
      <c r="G26" t="n">
        <v>1.4</v>
      </c>
      <c r="H26" t="n">
        <v>0</v>
      </c>
      <c r="I26" t="n">
        <v>2</v>
      </c>
      <c r="J26" t="n">
        <v>1</v>
      </c>
      <c r="K26" t="n">
        <v>0</v>
      </c>
      <c r="L26" t="n">
        <v>0</v>
      </c>
      <c r="M26" t="n">
        <v>0</v>
      </c>
      <c r="N26" t="n">
        <v>0</v>
      </c>
      <c r="O26" t="n">
        <v>1</v>
      </c>
      <c r="P26" t="n">
        <v>0</v>
      </c>
      <c r="Q26" t="n">
        <v>3</v>
      </c>
      <c r="R26" s="2" t="inlineStr">
        <is>
          <t>Motaggsvamp
Granbarkgnagare
Stubbspretmossa</t>
        </is>
      </c>
      <c r="S26">
        <f>HYPERLINK("https://klasma.github.io/Logging_0136/artfynd/A 47707-2023 artfynd.xlsx", "A 47707-2023")</f>
        <v/>
      </c>
      <c r="T26">
        <f>HYPERLINK("https://klasma.github.io/Logging_0136/kartor/A 47707-2023 karta.png", "A 47707-2023")</f>
        <v/>
      </c>
      <c r="V26">
        <f>HYPERLINK("https://klasma.github.io/Logging_0136/klagomål/A 47707-2023 FSC-klagomål.docx", "A 47707-2023")</f>
        <v/>
      </c>
      <c r="W26">
        <f>HYPERLINK("https://klasma.github.io/Logging_0136/klagomålsmail/A 47707-2023 FSC-klagomål mail.docx", "A 47707-2023")</f>
        <v/>
      </c>
      <c r="X26">
        <f>HYPERLINK("https://klasma.github.io/Logging_0136/tillsyn/A 47707-2023 tillsynsbegäran.docx", "A 47707-2023")</f>
        <v/>
      </c>
      <c r="Y26">
        <f>HYPERLINK("https://klasma.github.io/Logging_0136/tillsynsmail/A 47707-2023 tillsynsbegäran mail.docx", "A 47707-2023")</f>
        <v/>
      </c>
    </row>
    <row r="27" ht="15" customHeight="1">
      <c r="A27" t="inlineStr">
        <is>
          <t>A 53714-2023</t>
        </is>
      </c>
      <c r="B27" s="1" t="n">
        <v>45230</v>
      </c>
      <c r="C27" s="1" t="n">
        <v>45701</v>
      </c>
      <c r="D27" t="inlineStr">
        <is>
          <t>STOCKHOLMS LÄN</t>
        </is>
      </c>
      <c r="E27" t="inlineStr">
        <is>
          <t>HANINGE</t>
        </is>
      </c>
      <c r="G27" t="n">
        <v>7.7</v>
      </c>
      <c r="H27" t="n">
        <v>0</v>
      </c>
      <c r="I27" t="n">
        <v>3</v>
      </c>
      <c r="J27" t="n">
        <v>0</v>
      </c>
      <c r="K27" t="n">
        <v>0</v>
      </c>
      <c r="L27" t="n">
        <v>0</v>
      </c>
      <c r="M27" t="n">
        <v>0</v>
      </c>
      <c r="N27" t="n">
        <v>0</v>
      </c>
      <c r="O27" t="n">
        <v>0</v>
      </c>
      <c r="P27" t="n">
        <v>0</v>
      </c>
      <c r="Q27" t="n">
        <v>3</v>
      </c>
      <c r="R27" s="2" t="inlineStr">
        <is>
          <t>Guldlockmossa
Platt fjädermossa
Trubbfjädermossa</t>
        </is>
      </c>
      <c r="S27">
        <f>HYPERLINK("https://klasma.github.io/Logging_0136/artfynd/A 53714-2023 artfynd.xlsx", "A 53714-2023")</f>
        <v/>
      </c>
      <c r="T27">
        <f>HYPERLINK("https://klasma.github.io/Logging_0136/kartor/A 53714-2023 karta.png", "A 53714-2023")</f>
        <v/>
      </c>
      <c r="V27">
        <f>HYPERLINK("https://klasma.github.io/Logging_0136/klagomål/A 53714-2023 FSC-klagomål.docx", "A 53714-2023")</f>
        <v/>
      </c>
      <c r="W27">
        <f>HYPERLINK("https://klasma.github.io/Logging_0136/klagomålsmail/A 53714-2023 FSC-klagomål mail.docx", "A 53714-2023")</f>
        <v/>
      </c>
      <c r="X27">
        <f>HYPERLINK("https://klasma.github.io/Logging_0136/tillsyn/A 53714-2023 tillsynsbegäran.docx", "A 53714-2023")</f>
        <v/>
      </c>
      <c r="Y27">
        <f>HYPERLINK("https://klasma.github.io/Logging_0136/tillsynsmail/A 53714-2023 tillsynsbegäran mail.docx", "A 53714-2023")</f>
        <v/>
      </c>
    </row>
    <row r="28" ht="15" customHeight="1">
      <c r="A28" t="inlineStr">
        <is>
          <t>A 21978-2024</t>
        </is>
      </c>
      <c r="B28" s="1" t="n">
        <v>45443</v>
      </c>
      <c r="C28" s="1" t="n">
        <v>45701</v>
      </c>
      <c r="D28" t="inlineStr">
        <is>
          <t>STOCKHOLMS LÄN</t>
        </is>
      </c>
      <c r="E28" t="inlineStr">
        <is>
          <t>HANINGE</t>
        </is>
      </c>
      <c r="G28" t="n">
        <v>12.4</v>
      </c>
      <c r="H28" t="n">
        <v>2</v>
      </c>
      <c r="I28" t="n">
        <v>1</v>
      </c>
      <c r="J28" t="n">
        <v>1</v>
      </c>
      <c r="K28" t="n">
        <v>0</v>
      </c>
      <c r="L28" t="n">
        <v>0</v>
      </c>
      <c r="M28" t="n">
        <v>0</v>
      </c>
      <c r="N28" t="n">
        <v>0</v>
      </c>
      <c r="O28" t="n">
        <v>1</v>
      </c>
      <c r="P28" t="n">
        <v>0</v>
      </c>
      <c r="Q28" t="n">
        <v>3</v>
      </c>
      <c r="R28" s="2" t="inlineStr">
        <is>
          <t>Granticka
Grön sköldmossa
Vanlig snok</t>
        </is>
      </c>
      <c r="S28">
        <f>HYPERLINK("https://klasma.github.io/Logging_0136/artfynd/A 21978-2024 artfynd.xlsx", "A 21978-2024")</f>
        <v/>
      </c>
      <c r="T28">
        <f>HYPERLINK("https://klasma.github.io/Logging_0136/kartor/A 21978-2024 karta.png", "A 21978-2024")</f>
        <v/>
      </c>
      <c r="V28">
        <f>HYPERLINK("https://klasma.github.io/Logging_0136/klagomål/A 21978-2024 FSC-klagomål.docx", "A 21978-2024")</f>
        <v/>
      </c>
      <c r="W28">
        <f>HYPERLINK("https://klasma.github.io/Logging_0136/klagomålsmail/A 21978-2024 FSC-klagomål mail.docx", "A 21978-2024")</f>
        <v/>
      </c>
      <c r="X28">
        <f>HYPERLINK("https://klasma.github.io/Logging_0136/tillsyn/A 21978-2024 tillsynsbegäran.docx", "A 21978-2024")</f>
        <v/>
      </c>
      <c r="Y28">
        <f>HYPERLINK("https://klasma.github.io/Logging_0136/tillsynsmail/A 21978-2024 tillsynsbegäran mail.docx", "A 21978-2024")</f>
        <v/>
      </c>
    </row>
    <row r="29" ht="15" customHeight="1">
      <c r="A29" t="inlineStr">
        <is>
          <t>A 21187-2020</t>
        </is>
      </c>
      <c r="B29" s="1" t="n">
        <v>43951</v>
      </c>
      <c r="C29" s="1" t="n">
        <v>45701</v>
      </c>
      <c r="D29" t="inlineStr">
        <is>
          <t>STOCKHOLMS LÄN</t>
        </is>
      </c>
      <c r="E29" t="inlineStr">
        <is>
          <t>HANINGE</t>
        </is>
      </c>
      <c r="G29" t="n">
        <v>1.2</v>
      </c>
      <c r="H29" t="n">
        <v>0</v>
      </c>
      <c r="I29" t="n">
        <v>1</v>
      </c>
      <c r="J29" t="n">
        <v>0</v>
      </c>
      <c r="K29" t="n">
        <v>1</v>
      </c>
      <c r="L29" t="n">
        <v>0</v>
      </c>
      <c r="M29" t="n">
        <v>0</v>
      </c>
      <c r="N29" t="n">
        <v>0</v>
      </c>
      <c r="O29" t="n">
        <v>1</v>
      </c>
      <c r="P29" t="n">
        <v>1</v>
      </c>
      <c r="Q29" t="n">
        <v>2</v>
      </c>
      <c r="R29" s="2" t="inlineStr">
        <is>
          <t>Fläckfingersvamp
Granbarkgnagare</t>
        </is>
      </c>
      <c r="S29">
        <f>HYPERLINK("https://klasma.github.io/Logging_0136/artfynd/A 21187-2020 artfynd.xlsx", "A 21187-2020")</f>
        <v/>
      </c>
      <c r="T29">
        <f>HYPERLINK("https://klasma.github.io/Logging_0136/kartor/A 21187-2020 karta.png", "A 21187-2020")</f>
        <v/>
      </c>
      <c r="V29">
        <f>HYPERLINK("https://klasma.github.io/Logging_0136/klagomål/A 21187-2020 FSC-klagomål.docx", "A 21187-2020")</f>
        <v/>
      </c>
      <c r="W29">
        <f>HYPERLINK("https://klasma.github.io/Logging_0136/klagomålsmail/A 21187-2020 FSC-klagomål mail.docx", "A 21187-2020")</f>
        <v/>
      </c>
      <c r="X29">
        <f>HYPERLINK("https://klasma.github.io/Logging_0136/tillsyn/A 21187-2020 tillsynsbegäran.docx", "A 21187-2020")</f>
        <v/>
      </c>
      <c r="Y29">
        <f>HYPERLINK("https://klasma.github.io/Logging_0136/tillsynsmail/A 21187-2020 tillsynsbegäran mail.docx", "A 21187-2020")</f>
        <v/>
      </c>
    </row>
    <row r="30" ht="15" customHeight="1">
      <c r="A30" t="inlineStr">
        <is>
          <t>A 53858-2020</t>
        </is>
      </c>
      <c r="B30" s="1" t="n">
        <v>44125</v>
      </c>
      <c r="C30" s="1" t="n">
        <v>45701</v>
      </c>
      <c r="D30" t="inlineStr">
        <is>
          <t>STOCKHOLMS LÄN</t>
        </is>
      </c>
      <c r="E30" t="inlineStr">
        <is>
          <t>HANINGE</t>
        </is>
      </c>
      <c r="G30" t="n">
        <v>18.5</v>
      </c>
      <c r="H30" t="n">
        <v>2</v>
      </c>
      <c r="I30" t="n">
        <v>1</v>
      </c>
      <c r="J30" t="n">
        <v>0</v>
      </c>
      <c r="K30" t="n">
        <v>0</v>
      </c>
      <c r="L30" t="n">
        <v>0</v>
      </c>
      <c r="M30" t="n">
        <v>0</v>
      </c>
      <c r="N30" t="n">
        <v>0</v>
      </c>
      <c r="O30" t="n">
        <v>0</v>
      </c>
      <c r="P30" t="n">
        <v>0</v>
      </c>
      <c r="Q30" t="n">
        <v>2</v>
      </c>
      <c r="R30" s="2" t="inlineStr">
        <is>
          <t>Korallrot
Fläcknycklar</t>
        </is>
      </c>
      <c r="S30">
        <f>HYPERLINK("https://klasma.github.io/Logging_0136/artfynd/A 53858-2020 artfynd.xlsx", "A 53858-2020")</f>
        <v/>
      </c>
      <c r="T30">
        <f>HYPERLINK("https://klasma.github.io/Logging_0136/kartor/A 53858-2020 karta.png", "A 53858-2020")</f>
        <v/>
      </c>
      <c r="V30">
        <f>HYPERLINK("https://klasma.github.io/Logging_0136/klagomål/A 53858-2020 FSC-klagomål.docx", "A 53858-2020")</f>
        <v/>
      </c>
      <c r="W30">
        <f>HYPERLINK("https://klasma.github.io/Logging_0136/klagomålsmail/A 53858-2020 FSC-klagomål mail.docx", "A 53858-2020")</f>
        <v/>
      </c>
      <c r="X30">
        <f>HYPERLINK("https://klasma.github.io/Logging_0136/tillsyn/A 53858-2020 tillsynsbegäran.docx", "A 53858-2020")</f>
        <v/>
      </c>
      <c r="Y30">
        <f>HYPERLINK("https://klasma.github.io/Logging_0136/tillsynsmail/A 53858-2020 tillsynsbegäran mail.docx", "A 53858-2020")</f>
        <v/>
      </c>
    </row>
    <row r="31" ht="15" customHeight="1">
      <c r="A31" t="inlineStr">
        <is>
          <t>A 14729-2023</t>
        </is>
      </c>
      <c r="B31" s="1" t="n">
        <v>45014</v>
      </c>
      <c r="C31" s="1" t="n">
        <v>45701</v>
      </c>
      <c r="D31" t="inlineStr">
        <is>
          <t>STOCKHOLMS LÄN</t>
        </is>
      </c>
      <c r="E31" t="inlineStr">
        <is>
          <t>HANINGE</t>
        </is>
      </c>
      <c r="G31" t="n">
        <v>0.2</v>
      </c>
      <c r="H31" t="n">
        <v>0</v>
      </c>
      <c r="I31" t="n">
        <v>1</v>
      </c>
      <c r="J31" t="n">
        <v>1</v>
      </c>
      <c r="K31" t="n">
        <v>0</v>
      </c>
      <c r="L31" t="n">
        <v>0</v>
      </c>
      <c r="M31" t="n">
        <v>0</v>
      </c>
      <c r="N31" t="n">
        <v>0</v>
      </c>
      <c r="O31" t="n">
        <v>1</v>
      </c>
      <c r="P31" t="n">
        <v>0</v>
      </c>
      <c r="Q31" t="n">
        <v>2</v>
      </c>
      <c r="R31" s="2" t="inlineStr">
        <is>
          <t>Ullticka
Mindre märgborre</t>
        </is>
      </c>
      <c r="S31">
        <f>HYPERLINK("https://klasma.github.io/Logging_0136/artfynd/A 14729-2023 artfynd.xlsx", "A 14729-2023")</f>
        <v/>
      </c>
      <c r="T31">
        <f>HYPERLINK("https://klasma.github.io/Logging_0136/kartor/A 14729-2023 karta.png", "A 14729-2023")</f>
        <v/>
      </c>
      <c r="V31">
        <f>HYPERLINK("https://klasma.github.io/Logging_0136/klagomål/A 14729-2023 FSC-klagomål.docx", "A 14729-2023")</f>
        <v/>
      </c>
      <c r="W31">
        <f>HYPERLINK("https://klasma.github.io/Logging_0136/klagomålsmail/A 14729-2023 FSC-klagomål mail.docx", "A 14729-2023")</f>
        <v/>
      </c>
      <c r="X31">
        <f>HYPERLINK("https://klasma.github.io/Logging_0136/tillsyn/A 14729-2023 tillsynsbegäran.docx", "A 14729-2023")</f>
        <v/>
      </c>
      <c r="Y31">
        <f>HYPERLINK("https://klasma.github.io/Logging_0136/tillsynsmail/A 14729-2023 tillsynsbegäran mail.docx", "A 14729-2023")</f>
        <v/>
      </c>
    </row>
    <row r="32" ht="15" customHeight="1">
      <c r="A32" t="inlineStr">
        <is>
          <t>A 60213-2023</t>
        </is>
      </c>
      <c r="B32" s="1" t="n">
        <v>45258</v>
      </c>
      <c r="C32" s="1" t="n">
        <v>45701</v>
      </c>
      <c r="D32" t="inlineStr">
        <is>
          <t>STOCKHOLMS LÄN</t>
        </is>
      </c>
      <c r="E32" t="inlineStr">
        <is>
          <t>HANINGE</t>
        </is>
      </c>
      <c r="G32" t="n">
        <v>3.4</v>
      </c>
      <c r="H32" t="n">
        <v>1</v>
      </c>
      <c r="I32" t="n">
        <v>1</v>
      </c>
      <c r="J32" t="n">
        <v>1</v>
      </c>
      <c r="K32" t="n">
        <v>0</v>
      </c>
      <c r="L32" t="n">
        <v>0</v>
      </c>
      <c r="M32" t="n">
        <v>0</v>
      </c>
      <c r="N32" t="n">
        <v>0</v>
      </c>
      <c r="O32" t="n">
        <v>1</v>
      </c>
      <c r="P32" t="n">
        <v>0</v>
      </c>
      <c r="Q32" t="n">
        <v>2</v>
      </c>
      <c r="R32" s="2" t="inlineStr">
        <is>
          <t>Granticka
Grön sköldmossa</t>
        </is>
      </c>
      <c r="S32">
        <f>HYPERLINK("https://klasma.github.io/Logging_0136/artfynd/A 60213-2023 artfynd.xlsx", "A 60213-2023")</f>
        <v/>
      </c>
      <c r="T32">
        <f>HYPERLINK("https://klasma.github.io/Logging_0136/kartor/A 60213-2023 karta.png", "A 60213-2023")</f>
        <v/>
      </c>
      <c r="V32">
        <f>HYPERLINK("https://klasma.github.io/Logging_0136/klagomål/A 60213-2023 FSC-klagomål.docx", "A 60213-2023")</f>
        <v/>
      </c>
      <c r="W32">
        <f>HYPERLINK("https://klasma.github.io/Logging_0136/klagomålsmail/A 60213-2023 FSC-klagomål mail.docx", "A 60213-2023")</f>
        <v/>
      </c>
      <c r="X32">
        <f>HYPERLINK("https://klasma.github.io/Logging_0136/tillsyn/A 60213-2023 tillsynsbegäran.docx", "A 60213-2023")</f>
        <v/>
      </c>
      <c r="Y32">
        <f>HYPERLINK("https://klasma.github.io/Logging_0136/tillsynsmail/A 60213-2023 tillsynsbegäran mail.docx", "A 60213-2023")</f>
        <v/>
      </c>
    </row>
    <row r="33" ht="15" customHeight="1">
      <c r="A33" t="inlineStr">
        <is>
          <t>A 60375-2023</t>
        </is>
      </c>
      <c r="B33" s="1" t="n">
        <v>45259</v>
      </c>
      <c r="C33" s="1" t="n">
        <v>45701</v>
      </c>
      <c r="D33" t="inlineStr">
        <is>
          <t>STOCKHOLMS LÄN</t>
        </is>
      </c>
      <c r="E33" t="inlineStr">
        <is>
          <t>HANINGE</t>
        </is>
      </c>
      <c r="G33" t="n">
        <v>2.1</v>
      </c>
      <c r="H33" t="n">
        <v>0</v>
      </c>
      <c r="I33" t="n">
        <v>1</v>
      </c>
      <c r="J33" t="n">
        <v>1</v>
      </c>
      <c r="K33" t="n">
        <v>0</v>
      </c>
      <c r="L33" t="n">
        <v>0</v>
      </c>
      <c r="M33" t="n">
        <v>0</v>
      </c>
      <c r="N33" t="n">
        <v>0</v>
      </c>
      <c r="O33" t="n">
        <v>1</v>
      </c>
      <c r="P33" t="n">
        <v>0</v>
      </c>
      <c r="Q33" t="n">
        <v>2</v>
      </c>
      <c r="R33" s="2" t="inlineStr">
        <is>
          <t>Granticka
Granbarkgnagare</t>
        </is>
      </c>
      <c r="S33">
        <f>HYPERLINK("https://klasma.github.io/Logging_0136/artfynd/A 60375-2023 artfynd.xlsx", "A 60375-2023")</f>
        <v/>
      </c>
      <c r="T33">
        <f>HYPERLINK("https://klasma.github.io/Logging_0136/kartor/A 60375-2023 karta.png", "A 60375-2023")</f>
        <v/>
      </c>
      <c r="V33">
        <f>HYPERLINK("https://klasma.github.io/Logging_0136/klagomål/A 60375-2023 FSC-klagomål.docx", "A 60375-2023")</f>
        <v/>
      </c>
      <c r="W33">
        <f>HYPERLINK("https://klasma.github.io/Logging_0136/klagomålsmail/A 60375-2023 FSC-klagomål mail.docx", "A 60375-2023")</f>
        <v/>
      </c>
      <c r="X33">
        <f>HYPERLINK("https://klasma.github.io/Logging_0136/tillsyn/A 60375-2023 tillsynsbegäran.docx", "A 60375-2023")</f>
        <v/>
      </c>
      <c r="Y33">
        <f>HYPERLINK("https://klasma.github.io/Logging_0136/tillsynsmail/A 60375-2023 tillsynsbegäran mail.docx", "A 60375-2023")</f>
        <v/>
      </c>
    </row>
    <row r="34" ht="15" customHeight="1">
      <c r="A34" t="inlineStr">
        <is>
          <t>A 12662-2024</t>
        </is>
      </c>
      <c r="B34" s="1" t="n">
        <v>45384</v>
      </c>
      <c r="C34" s="1" t="n">
        <v>45701</v>
      </c>
      <c r="D34" t="inlineStr">
        <is>
          <t>STOCKHOLMS LÄN</t>
        </is>
      </c>
      <c r="E34" t="inlineStr">
        <is>
          <t>HANINGE</t>
        </is>
      </c>
      <c r="G34" t="n">
        <v>1.8</v>
      </c>
      <c r="H34" t="n">
        <v>1</v>
      </c>
      <c r="I34" t="n">
        <v>1</v>
      </c>
      <c r="J34" t="n">
        <v>0</v>
      </c>
      <c r="K34" t="n">
        <v>0</v>
      </c>
      <c r="L34" t="n">
        <v>0</v>
      </c>
      <c r="M34" t="n">
        <v>0</v>
      </c>
      <c r="N34" t="n">
        <v>0</v>
      </c>
      <c r="O34" t="n">
        <v>0</v>
      </c>
      <c r="P34" t="n">
        <v>0</v>
      </c>
      <c r="Q34" t="n">
        <v>2</v>
      </c>
      <c r="R34" s="2" t="inlineStr">
        <is>
          <t>Skogshakmossa
Blåsippa</t>
        </is>
      </c>
      <c r="S34">
        <f>HYPERLINK("https://klasma.github.io/Logging_0136/artfynd/A 12662-2024 artfynd.xlsx", "A 12662-2024")</f>
        <v/>
      </c>
      <c r="T34">
        <f>HYPERLINK("https://klasma.github.io/Logging_0136/kartor/A 12662-2024 karta.png", "A 12662-2024")</f>
        <v/>
      </c>
      <c r="V34">
        <f>HYPERLINK("https://klasma.github.io/Logging_0136/klagomål/A 12662-2024 FSC-klagomål.docx", "A 12662-2024")</f>
        <v/>
      </c>
      <c r="W34">
        <f>HYPERLINK("https://klasma.github.io/Logging_0136/klagomålsmail/A 12662-2024 FSC-klagomål mail.docx", "A 12662-2024")</f>
        <v/>
      </c>
      <c r="X34">
        <f>HYPERLINK("https://klasma.github.io/Logging_0136/tillsyn/A 12662-2024 tillsynsbegäran.docx", "A 12662-2024")</f>
        <v/>
      </c>
      <c r="Y34">
        <f>HYPERLINK("https://klasma.github.io/Logging_0136/tillsynsmail/A 12662-2024 tillsynsbegäran mail.docx", "A 12662-2024")</f>
        <v/>
      </c>
    </row>
    <row r="35" ht="15" customHeight="1">
      <c r="A35" t="inlineStr">
        <is>
          <t>A 29513-2019</t>
        </is>
      </c>
      <c r="B35" s="1" t="n">
        <v>43627</v>
      </c>
      <c r="C35" s="1" t="n">
        <v>45701</v>
      </c>
      <c r="D35" t="inlineStr">
        <is>
          <t>STOCKHOLMS LÄN</t>
        </is>
      </c>
      <c r="E35" t="inlineStr">
        <is>
          <t>HANINGE</t>
        </is>
      </c>
      <c r="G35" t="n">
        <v>2.1</v>
      </c>
      <c r="H35" t="n">
        <v>1</v>
      </c>
      <c r="I35" t="n">
        <v>0</v>
      </c>
      <c r="J35" t="n">
        <v>1</v>
      </c>
      <c r="K35" t="n">
        <v>0</v>
      </c>
      <c r="L35" t="n">
        <v>0</v>
      </c>
      <c r="M35" t="n">
        <v>0</v>
      </c>
      <c r="N35" t="n">
        <v>0</v>
      </c>
      <c r="O35" t="n">
        <v>1</v>
      </c>
      <c r="P35" t="n">
        <v>0</v>
      </c>
      <c r="Q35" t="n">
        <v>1</v>
      </c>
      <c r="R35" s="2" t="inlineStr">
        <is>
          <t>Spillkråka</t>
        </is>
      </c>
      <c r="S35">
        <f>HYPERLINK("https://klasma.github.io/Logging_0136/artfynd/A 29513-2019 artfynd.xlsx", "A 29513-2019")</f>
        <v/>
      </c>
      <c r="T35">
        <f>HYPERLINK("https://klasma.github.io/Logging_0136/kartor/A 29513-2019 karta.png", "A 29513-2019")</f>
        <v/>
      </c>
      <c r="V35">
        <f>HYPERLINK("https://klasma.github.io/Logging_0136/klagomål/A 29513-2019 FSC-klagomål.docx", "A 29513-2019")</f>
        <v/>
      </c>
      <c r="W35">
        <f>HYPERLINK("https://klasma.github.io/Logging_0136/klagomålsmail/A 29513-2019 FSC-klagomål mail.docx", "A 29513-2019")</f>
        <v/>
      </c>
      <c r="X35">
        <f>HYPERLINK("https://klasma.github.io/Logging_0136/tillsyn/A 29513-2019 tillsynsbegäran.docx", "A 29513-2019")</f>
        <v/>
      </c>
      <c r="Y35">
        <f>HYPERLINK("https://klasma.github.io/Logging_0136/tillsynsmail/A 29513-2019 tillsynsbegäran mail.docx", "A 29513-2019")</f>
        <v/>
      </c>
      <c r="Z35">
        <f>HYPERLINK("https://klasma.github.io/Logging_0136/fåglar/A 29513-2019 prioriterade fågelarter.docx", "A 29513-2019")</f>
        <v/>
      </c>
    </row>
    <row r="36" ht="15" customHeight="1">
      <c r="A36" t="inlineStr">
        <is>
          <t>A 68231-2019</t>
        </is>
      </c>
      <c r="B36" s="1" t="n">
        <v>43817</v>
      </c>
      <c r="C36" s="1" t="n">
        <v>45701</v>
      </c>
      <c r="D36" t="inlineStr">
        <is>
          <t>STOCKHOLMS LÄN</t>
        </is>
      </c>
      <c r="E36" t="inlineStr">
        <is>
          <t>HANINGE</t>
        </is>
      </c>
      <c r="F36" t="inlineStr">
        <is>
          <t>Övriga statliga verk och myndigheter</t>
        </is>
      </c>
      <c r="G36" t="n">
        <v>80.5</v>
      </c>
      <c r="H36" t="n">
        <v>1</v>
      </c>
      <c r="I36" t="n">
        <v>0</v>
      </c>
      <c r="J36" t="n">
        <v>1</v>
      </c>
      <c r="K36" t="n">
        <v>0</v>
      </c>
      <c r="L36" t="n">
        <v>0</v>
      </c>
      <c r="M36" t="n">
        <v>0</v>
      </c>
      <c r="N36" t="n">
        <v>0</v>
      </c>
      <c r="O36" t="n">
        <v>1</v>
      </c>
      <c r="P36" t="n">
        <v>0</v>
      </c>
      <c r="Q36" t="n">
        <v>1</v>
      </c>
      <c r="R36" s="2" t="inlineStr">
        <is>
          <t>Havsörn</t>
        </is>
      </c>
      <c r="S36">
        <f>HYPERLINK("https://klasma.github.io/Logging_0136/artfynd/A 68231-2019 artfynd.xlsx", "A 68231-2019")</f>
        <v/>
      </c>
      <c r="T36">
        <f>HYPERLINK("https://klasma.github.io/Logging_0136/kartor/A 68231-2019 karta.png", "A 68231-2019")</f>
        <v/>
      </c>
      <c r="V36">
        <f>HYPERLINK("https://klasma.github.io/Logging_0136/klagomål/A 68231-2019 FSC-klagomål.docx", "A 68231-2019")</f>
        <v/>
      </c>
      <c r="W36">
        <f>HYPERLINK("https://klasma.github.io/Logging_0136/klagomålsmail/A 68231-2019 FSC-klagomål mail.docx", "A 68231-2019")</f>
        <v/>
      </c>
      <c r="X36">
        <f>HYPERLINK("https://klasma.github.io/Logging_0136/tillsyn/A 68231-2019 tillsynsbegäran.docx", "A 68231-2019")</f>
        <v/>
      </c>
      <c r="Y36">
        <f>HYPERLINK("https://klasma.github.io/Logging_0136/tillsynsmail/A 68231-2019 tillsynsbegäran mail.docx", "A 68231-2019")</f>
        <v/>
      </c>
      <c r="Z36">
        <f>HYPERLINK("https://klasma.github.io/Logging_0136/fåglar/A 68231-2019 prioriterade fågelarter.docx", "A 68231-2019")</f>
        <v/>
      </c>
    </row>
    <row r="37" ht="15" customHeight="1">
      <c r="A37" t="inlineStr">
        <is>
          <t>A 15312-2020</t>
        </is>
      </c>
      <c r="B37" s="1" t="n">
        <v>43913</v>
      </c>
      <c r="C37" s="1" t="n">
        <v>45701</v>
      </c>
      <c r="D37" t="inlineStr">
        <is>
          <t>STOCKHOLMS LÄN</t>
        </is>
      </c>
      <c r="E37" t="inlineStr">
        <is>
          <t>HANINGE</t>
        </is>
      </c>
      <c r="F37" t="inlineStr">
        <is>
          <t>Övriga statliga verk och myndigheter</t>
        </is>
      </c>
      <c r="G37" t="n">
        <v>2.4</v>
      </c>
      <c r="H37" t="n">
        <v>0</v>
      </c>
      <c r="I37" t="n">
        <v>0</v>
      </c>
      <c r="J37" t="n">
        <v>1</v>
      </c>
      <c r="K37" t="n">
        <v>0</v>
      </c>
      <c r="L37" t="n">
        <v>0</v>
      </c>
      <c r="M37" t="n">
        <v>0</v>
      </c>
      <c r="N37" t="n">
        <v>0</v>
      </c>
      <c r="O37" t="n">
        <v>1</v>
      </c>
      <c r="P37" t="n">
        <v>0</v>
      </c>
      <c r="Q37" t="n">
        <v>1</v>
      </c>
      <c r="R37" s="2" t="inlineStr">
        <is>
          <t>Tallticka</t>
        </is>
      </c>
      <c r="S37">
        <f>HYPERLINK("https://klasma.github.io/Logging_0136/artfynd/A 15312-2020 artfynd.xlsx", "A 15312-2020")</f>
        <v/>
      </c>
      <c r="T37">
        <f>HYPERLINK("https://klasma.github.io/Logging_0136/kartor/A 15312-2020 karta.png", "A 15312-2020")</f>
        <v/>
      </c>
      <c r="V37">
        <f>HYPERLINK("https://klasma.github.io/Logging_0136/klagomål/A 15312-2020 FSC-klagomål.docx", "A 15312-2020")</f>
        <v/>
      </c>
      <c r="W37">
        <f>HYPERLINK("https://klasma.github.io/Logging_0136/klagomålsmail/A 15312-2020 FSC-klagomål mail.docx", "A 15312-2020")</f>
        <v/>
      </c>
      <c r="X37">
        <f>HYPERLINK("https://klasma.github.io/Logging_0136/tillsyn/A 15312-2020 tillsynsbegäran.docx", "A 15312-2020")</f>
        <v/>
      </c>
      <c r="Y37">
        <f>HYPERLINK("https://klasma.github.io/Logging_0136/tillsynsmail/A 15312-2020 tillsynsbegäran mail.docx", "A 15312-2020")</f>
        <v/>
      </c>
    </row>
    <row r="38" ht="15" customHeight="1">
      <c r="A38" t="inlineStr">
        <is>
          <t>A 32525-2020</t>
        </is>
      </c>
      <c r="B38" s="1" t="n">
        <v>44018</v>
      </c>
      <c r="C38" s="1" t="n">
        <v>45701</v>
      </c>
      <c r="D38" t="inlineStr">
        <is>
          <t>STOCKHOLMS LÄN</t>
        </is>
      </c>
      <c r="E38" t="inlineStr">
        <is>
          <t>HANINGE</t>
        </is>
      </c>
      <c r="F38" t="inlineStr">
        <is>
          <t>Kommuner</t>
        </is>
      </c>
      <c r="G38" t="n">
        <v>2.3</v>
      </c>
      <c r="H38" t="n">
        <v>0</v>
      </c>
      <c r="I38" t="n">
        <v>1</v>
      </c>
      <c r="J38" t="n">
        <v>0</v>
      </c>
      <c r="K38" t="n">
        <v>0</v>
      </c>
      <c r="L38" t="n">
        <v>0</v>
      </c>
      <c r="M38" t="n">
        <v>0</v>
      </c>
      <c r="N38" t="n">
        <v>0</v>
      </c>
      <c r="O38" t="n">
        <v>0</v>
      </c>
      <c r="P38" t="n">
        <v>0</v>
      </c>
      <c r="Q38" t="n">
        <v>1</v>
      </c>
      <c r="R38" s="2" t="inlineStr">
        <is>
          <t>Vedticka</t>
        </is>
      </c>
      <c r="S38">
        <f>HYPERLINK("https://klasma.github.io/Logging_0136/artfynd/A 32525-2020 artfynd.xlsx", "A 32525-2020")</f>
        <v/>
      </c>
      <c r="T38">
        <f>HYPERLINK("https://klasma.github.io/Logging_0136/kartor/A 32525-2020 karta.png", "A 32525-2020")</f>
        <v/>
      </c>
      <c r="V38">
        <f>HYPERLINK("https://klasma.github.io/Logging_0136/klagomål/A 32525-2020 FSC-klagomål.docx", "A 32525-2020")</f>
        <v/>
      </c>
      <c r="W38">
        <f>HYPERLINK("https://klasma.github.io/Logging_0136/klagomålsmail/A 32525-2020 FSC-klagomål mail.docx", "A 32525-2020")</f>
        <v/>
      </c>
      <c r="X38">
        <f>HYPERLINK("https://klasma.github.io/Logging_0136/tillsyn/A 32525-2020 tillsynsbegäran.docx", "A 32525-2020")</f>
        <v/>
      </c>
      <c r="Y38">
        <f>HYPERLINK("https://klasma.github.io/Logging_0136/tillsynsmail/A 32525-2020 tillsynsbegäran mail.docx", "A 32525-2020")</f>
        <v/>
      </c>
    </row>
    <row r="39" ht="15" customHeight="1">
      <c r="A39" t="inlineStr">
        <is>
          <t>A 1424-2021</t>
        </is>
      </c>
      <c r="B39" s="1" t="n">
        <v>44208</v>
      </c>
      <c r="C39" s="1" t="n">
        <v>45701</v>
      </c>
      <c r="D39" t="inlineStr">
        <is>
          <t>STOCKHOLMS LÄN</t>
        </is>
      </c>
      <c r="E39" t="inlineStr">
        <is>
          <t>HANINGE</t>
        </is>
      </c>
      <c r="G39" t="n">
        <v>1.7</v>
      </c>
      <c r="H39" t="n">
        <v>1</v>
      </c>
      <c r="I39" t="n">
        <v>1</v>
      </c>
      <c r="J39" t="n">
        <v>0</v>
      </c>
      <c r="K39" t="n">
        <v>0</v>
      </c>
      <c r="L39" t="n">
        <v>0</v>
      </c>
      <c r="M39" t="n">
        <v>0</v>
      </c>
      <c r="N39" t="n">
        <v>0</v>
      </c>
      <c r="O39" t="n">
        <v>0</v>
      </c>
      <c r="P39" t="n">
        <v>0</v>
      </c>
      <c r="Q39" t="n">
        <v>1</v>
      </c>
      <c r="R39" s="2" t="inlineStr">
        <is>
          <t>Tvåblad</t>
        </is>
      </c>
      <c r="S39">
        <f>HYPERLINK("https://klasma.github.io/Logging_0136/artfynd/A 1424-2021 artfynd.xlsx", "A 1424-2021")</f>
        <v/>
      </c>
      <c r="T39">
        <f>HYPERLINK("https://klasma.github.io/Logging_0136/kartor/A 1424-2021 karta.png", "A 1424-2021")</f>
        <v/>
      </c>
      <c r="U39">
        <f>HYPERLINK("https://klasma.github.io/Logging_0136/knärot/A 1424-2021 karta knärot.png", "A 1424-2021")</f>
        <v/>
      </c>
      <c r="V39">
        <f>HYPERLINK("https://klasma.github.io/Logging_0136/klagomål/A 1424-2021 FSC-klagomål.docx", "A 1424-2021")</f>
        <v/>
      </c>
      <c r="W39">
        <f>HYPERLINK("https://klasma.github.io/Logging_0136/klagomålsmail/A 1424-2021 FSC-klagomål mail.docx", "A 1424-2021")</f>
        <v/>
      </c>
      <c r="X39">
        <f>HYPERLINK("https://klasma.github.io/Logging_0136/tillsyn/A 1424-2021 tillsynsbegäran.docx", "A 1424-2021")</f>
        <v/>
      </c>
      <c r="Y39">
        <f>HYPERLINK("https://klasma.github.io/Logging_0136/tillsynsmail/A 1424-2021 tillsynsbegäran mail.docx", "A 1424-2021")</f>
        <v/>
      </c>
    </row>
    <row r="40" ht="15" customHeight="1">
      <c r="A40" t="inlineStr">
        <is>
          <t>A 68883-2021</t>
        </is>
      </c>
      <c r="B40" s="1" t="n">
        <v>44526</v>
      </c>
      <c r="C40" s="1" t="n">
        <v>45701</v>
      </c>
      <c r="D40" t="inlineStr">
        <is>
          <t>STOCKHOLMS LÄN</t>
        </is>
      </c>
      <c r="E40" t="inlineStr">
        <is>
          <t>HANINGE</t>
        </is>
      </c>
      <c r="G40" t="n">
        <v>2.5</v>
      </c>
      <c r="H40" t="n">
        <v>1</v>
      </c>
      <c r="I40" t="n">
        <v>0</v>
      </c>
      <c r="J40" t="n">
        <v>0</v>
      </c>
      <c r="K40" t="n">
        <v>0</v>
      </c>
      <c r="L40" t="n">
        <v>0</v>
      </c>
      <c r="M40" t="n">
        <v>0</v>
      </c>
      <c r="N40" t="n">
        <v>0</v>
      </c>
      <c r="O40" t="n">
        <v>0</v>
      </c>
      <c r="P40" t="n">
        <v>0</v>
      </c>
      <c r="Q40" t="n">
        <v>1</v>
      </c>
      <c r="R40" s="2" t="inlineStr">
        <is>
          <t>Nattviol</t>
        </is>
      </c>
      <c r="S40">
        <f>HYPERLINK("https://klasma.github.io/Logging_0136/artfynd/A 68883-2021 artfynd.xlsx", "A 68883-2021")</f>
        <v/>
      </c>
      <c r="T40">
        <f>HYPERLINK("https://klasma.github.io/Logging_0136/kartor/A 68883-2021 karta.png", "A 68883-2021")</f>
        <v/>
      </c>
      <c r="V40">
        <f>HYPERLINK("https://klasma.github.io/Logging_0136/klagomål/A 68883-2021 FSC-klagomål.docx", "A 68883-2021")</f>
        <v/>
      </c>
      <c r="W40">
        <f>HYPERLINK("https://klasma.github.io/Logging_0136/klagomålsmail/A 68883-2021 FSC-klagomål mail.docx", "A 68883-2021")</f>
        <v/>
      </c>
      <c r="X40">
        <f>HYPERLINK("https://klasma.github.io/Logging_0136/tillsyn/A 68883-2021 tillsynsbegäran.docx", "A 68883-2021")</f>
        <v/>
      </c>
      <c r="Y40">
        <f>HYPERLINK("https://klasma.github.io/Logging_0136/tillsynsmail/A 68883-2021 tillsynsbegäran mail.docx", "A 68883-2021")</f>
        <v/>
      </c>
    </row>
    <row r="41" ht="15" customHeight="1">
      <c r="A41" t="inlineStr">
        <is>
          <t>A 2722-2022</t>
        </is>
      </c>
      <c r="B41" s="1" t="n">
        <v>44580</v>
      </c>
      <c r="C41" s="1" t="n">
        <v>45701</v>
      </c>
      <c r="D41" t="inlineStr">
        <is>
          <t>STOCKHOLMS LÄN</t>
        </is>
      </c>
      <c r="E41" t="inlineStr">
        <is>
          <t>HANINGE</t>
        </is>
      </c>
      <c r="G41" t="n">
        <v>1.5</v>
      </c>
      <c r="H41" t="n">
        <v>1</v>
      </c>
      <c r="I41" t="n">
        <v>1</v>
      </c>
      <c r="J41" t="n">
        <v>0</v>
      </c>
      <c r="K41" t="n">
        <v>0</v>
      </c>
      <c r="L41" t="n">
        <v>0</v>
      </c>
      <c r="M41" t="n">
        <v>0</v>
      </c>
      <c r="N41" t="n">
        <v>0</v>
      </c>
      <c r="O41" t="n">
        <v>0</v>
      </c>
      <c r="P41" t="n">
        <v>0</v>
      </c>
      <c r="Q41" t="n">
        <v>1</v>
      </c>
      <c r="R41" s="2" t="inlineStr">
        <is>
          <t>Grön sköldmossa</t>
        </is>
      </c>
      <c r="S41">
        <f>HYPERLINK("https://klasma.github.io/Logging_0136/artfynd/A 2722-2022 artfynd.xlsx", "A 2722-2022")</f>
        <v/>
      </c>
      <c r="T41">
        <f>HYPERLINK("https://klasma.github.io/Logging_0136/kartor/A 2722-2022 karta.png", "A 2722-2022")</f>
        <v/>
      </c>
      <c r="V41">
        <f>HYPERLINK("https://klasma.github.io/Logging_0136/klagomål/A 2722-2022 FSC-klagomål.docx", "A 2722-2022")</f>
        <v/>
      </c>
      <c r="W41">
        <f>HYPERLINK("https://klasma.github.io/Logging_0136/klagomålsmail/A 2722-2022 FSC-klagomål mail.docx", "A 2722-2022")</f>
        <v/>
      </c>
      <c r="X41">
        <f>HYPERLINK("https://klasma.github.io/Logging_0136/tillsyn/A 2722-2022 tillsynsbegäran.docx", "A 2722-2022")</f>
        <v/>
      </c>
      <c r="Y41">
        <f>HYPERLINK("https://klasma.github.io/Logging_0136/tillsynsmail/A 2722-2022 tillsynsbegäran mail.docx", "A 2722-2022")</f>
        <v/>
      </c>
    </row>
    <row r="42" ht="15" customHeight="1">
      <c r="A42" t="inlineStr">
        <is>
          <t>A 34823-2022</t>
        </is>
      </c>
      <c r="B42" s="1" t="n">
        <v>44796</v>
      </c>
      <c r="C42" s="1" t="n">
        <v>45701</v>
      </c>
      <c r="D42" t="inlineStr">
        <is>
          <t>STOCKHOLMS LÄN</t>
        </is>
      </c>
      <c r="E42" t="inlineStr">
        <is>
          <t>HANINGE</t>
        </is>
      </c>
      <c r="G42" t="n">
        <v>12</v>
      </c>
      <c r="H42" t="n">
        <v>0</v>
      </c>
      <c r="I42" t="n">
        <v>0</v>
      </c>
      <c r="J42" t="n">
        <v>0</v>
      </c>
      <c r="K42" t="n">
        <v>1</v>
      </c>
      <c r="L42" t="n">
        <v>0</v>
      </c>
      <c r="M42" t="n">
        <v>0</v>
      </c>
      <c r="N42" t="n">
        <v>0</v>
      </c>
      <c r="O42" t="n">
        <v>1</v>
      </c>
      <c r="P42" t="n">
        <v>1</v>
      </c>
      <c r="Q42" t="n">
        <v>1</v>
      </c>
      <c r="R42" s="2" t="inlineStr">
        <is>
          <t>Mörk kraterlav</t>
        </is>
      </c>
      <c r="S42">
        <f>HYPERLINK("https://klasma.github.io/Logging_0136/artfynd/A 34823-2022 artfynd.xlsx", "A 34823-2022")</f>
        <v/>
      </c>
      <c r="T42">
        <f>HYPERLINK("https://klasma.github.io/Logging_0136/kartor/A 34823-2022 karta.png", "A 34823-2022")</f>
        <v/>
      </c>
      <c r="V42">
        <f>HYPERLINK("https://klasma.github.io/Logging_0136/klagomål/A 34823-2022 FSC-klagomål.docx", "A 34823-2022")</f>
        <v/>
      </c>
      <c r="W42">
        <f>HYPERLINK("https://klasma.github.io/Logging_0136/klagomålsmail/A 34823-2022 FSC-klagomål mail.docx", "A 34823-2022")</f>
        <v/>
      </c>
      <c r="X42">
        <f>HYPERLINK("https://klasma.github.io/Logging_0136/tillsyn/A 34823-2022 tillsynsbegäran.docx", "A 34823-2022")</f>
        <v/>
      </c>
      <c r="Y42">
        <f>HYPERLINK("https://klasma.github.io/Logging_0136/tillsynsmail/A 34823-2022 tillsynsbegäran mail.docx", "A 34823-2022")</f>
        <v/>
      </c>
    </row>
    <row r="43" ht="15" customHeight="1">
      <c r="A43" t="inlineStr">
        <is>
          <t>A 37004-2022</t>
        </is>
      </c>
      <c r="B43" s="1" t="n">
        <v>44806</v>
      </c>
      <c r="C43" s="1" t="n">
        <v>45701</v>
      </c>
      <c r="D43" t="inlineStr">
        <is>
          <t>STOCKHOLMS LÄN</t>
        </is>
      </c>
      <c r="E43" t="inlineStr">
        <is>
          <t>HANINGE</t>
        </is>
      </c>
      <c r="F43" t="inlineStr">
        <is>
          <t>Övriga statliga verk och myndigheter</t>
        </is>
      </c>
      <c r="G43" t="n">
        <v>4.4</v>
      </c>
      <c r="H43" t="n">
        <v>1</v>
      </c>
      <c r="I43" t="n">
        <v>1</v>
      </c>
      <c r="J43" t="n">
        <v>0</v>
      </c>
      <c r="K43" t="n">
        <v>0</v>
      </c>
      <c r="L43" t="n">
        <v>0</v>
      </c>
      <c r="M43" t="n">
        <v>0</v>
      </c>
      <c r="N43" t="n">
        <v>0</v>
      </c>
      <c r="O43" t="n">
        <v>0</v>
      </c>
      <c r="P43" t="n">
        <v>0</v>
      </c>
      <c r="Q43" t="n">
        <v>1</v>
      </c>
      <c r="R43" s="2" t="inlineStr">
        <is>
          <t>Skogsknipprot</t>
        </is>
      </c>
      <c r="S43">
        <f>HYPERLINK("https://klasma.github.io/Logging_0136/artfynd/A 37004-2022 artfynd.xlsx", "A 37004-2022")</f>
        <v/>
      </c>
      <c r="T43">
        <f>HYPERLINK("https://klasma.github.io/Logging_0136/kartor/A 37004-2022 karta.png", "A 37004-2022")</f>
        <v/>
      </c>
      <c r="V43">
        <f>HYPERLINK("https://klasma.github.io/Logging_0136/klagomål/A 37004-2022 FSC-klagomål.docx", "A 37004-2022")</f>
        <v/>
      </c>
      <c r="W43">
        <f>HYPERLINK("https://klasma.github.io/Logging_0136/klagomålsmail/A 37004-2022 FSC-klagomål mail.docx", "A 37004-2022")</f>
        <v/>
      </c>
      <c r="X43">
        <f>HYPERLINK("https://klasma.github.io/Logging_0136/tillsyn/A 37004-2022 tillsynsbegäran.docx", "A 37004-2022")</f>
        <v/>
      </c>
      <c r="Y43">
        <f>HYPERLINK("https://klasma.github.io/Logging_0136/tillsynsmail/A 37004-2022 tillsynsbegäran mail.docx", "A 37004-2022")</f>
        <v/>
      </c>
    </row>
    <row r="44" ht="15" customHeight="1">
      <c r="A44" t="inlineStr">
        <is>
          <t>A 39636-2022</t>
        </is>
      </c>
      <c r="B44" s="1" t="n">
        <v>44818</v>
      </c>
      <c r="C44" s="1" t="n">
        <v>45701</v>
      </c>
      <c r="D44" t="inlineStr">
        <is>
          <t>STOCKHOLMS LÄN</t>
        </is>
      </c>
      <c r="E44" t="inlineStr">
        <is>
          <t>HANINGE</t>
        </is>
      </c>
      <c r="G44" t="n">
        <v>2</v>
      </c>
      <c r="H44" t="n">
        <v>0</v>
      </c>
      <c r="I44" t="n">
        <v>0</v>
      </c>
      <c r="J44" t="n">
        <v>0</v>
      </c>
      <c r="K44" t="n">
        <v>1</v>
      </c>
      <c r="L44" t="n">
        <v>0</v>
      </c>
      <c r="M44" t="n">
        <v>0</v>
      </c>
      <c r="N44" t="n">
        <v>0</v>
      </c>
      <c r="O44" t="n">
        <v>1</v>
      </c>
      <c r="P44" t="n">
        <v>1</v>
      </c>
      <c r="Q44" t="n">
        <v>1</v>
      </c>
      <c r="R44" s="2" t="inlineStr">
        <is>
          <t>Koppartaggsvamp</t>
        </is>
      </c>
      <c r="S44">
        <f>HYPERLINK("https://klasma.github.io/Logging_0136/artfynd/A 39636-2022 artfynd.xlsx", "A 39636-2022")</f>
        <v/>
      </c>
      <c r="T44">
        <f>HYPERLINK("https://klasma.github.io/Logging_0136/kartor/A 39636-2022 karta.png", "A 39636-2022")</f>
        <v/>
      </c>
      <c r="V44">
        <f>HYPERLINK("https://klasma.github.io/Logging_0136/klagomål/A 39636-2022 FSC-klagomål.docx", "A 39636-2022")</f>
        <v/>
      </c>
      <c r="W44">
        <f>HYPERLINK("https://klasma.github.io/Logging_0136/klagomålsmail/A 39636-2022 FSC-klagomål mail.docx", "A 39636-2022")</f>
        <v/>
      </c>
      <c r="X44">
        <f>HYPERLINK("https://klasma.github.io/Logging_0136/tillsyn/A 39636-2022 tillsynsbegäran.docx", "A 39636-2022")</f>
        <v/>
      </c>
      <c r="Y44">
        <f>HYPERLINK("https://klasma.github.io/Logging_0136/tillsynsmail/A 39636-2022 tillsynsbegäran mail.docx", "A 39636-2022")</f>
        <v/>
      </c>
    </row>
    <row r="45" ht="15" customHeight="1">
      <c r="A45" t="inlineStr">
        <is>
          <t>A 60299-2023</t>
        </is>
      </c>
      <c r="B45" s="1" t="n">
        <v>45258</v>
      </c>
      <c r="C45" s="1" t="n">
        <v>45701</v>
      </c>
      <c r="D45" t="inlineStr">
        <is>
          <t>STOCKHOLMS LÄN</t>
        </is>
      </c>
      <c r="E45" t="inlineStr">
        <is>
          <t>HANINGE</t>
        </is>
      </c>
      <c r="G45" t="n">
        <v>1.3</v>
      </c>
      <c r="H45" t="n">
        <v>0</v>
      </c>
      <c r="I45" t="n">
        <v>1</v>
      </c>
      <c r="J45" t="n">
        <v>0</v>
      </c>
      <c r="K45" t="n">
        <v>0</v>
      </c>
      <c r="L45" t="n">
        <v>0</v>
      </c>
      <c r="M45" t="n">
        <v>0</v>
      </c>
      <c r="N45" t="n">
        <v>0</v>
      </c>
      <c r="O45" t="n">
        <v>0</v>
      </c>
      <c r="P45" t="n">
        <v>0</v>
      </c>
      <c r="Q45" t="n">
        <v>1</v>
      </c>
      <c r="R45" s="2" t="inlineStr">
        <is>
          <t>Mörk husmossa</t>
        </is>
      </c>
      <c r="S45">
        <f>HYPERLINK("https://klasma.github.io/Logging_0136/artfynd/A 60299-2023 artfynd.xlsx", "A 60299-2023")</f>
        <v/>
      </c>
      <c r="T45">
        <f>HYPERLINK("https://klasma.github.io/Logging_0136/kartor/A 60299-2023 karta.png", "A 60299-2023")</f>
        <v/>
      </c>
      <c r="V45">
        <f>HYPERLINK("https://klasma.github.io/Logging_0136/klagomål/A 60299-2023 FSC-klagomål.docx", "A 60299-2023")</f>
        <v/>
      </c>
      <c r="W45">
        <f>HYPERLINK("https://klasma.github.io/Logging_0136/klagomålsmail/A 60299-2023 FSC-klagomål mail.docx", "A 60299-2023")</f>
        <v/>
      </c>
      <c r="X45">
        <f>HYPERLINK("https://klasma.github.io/Logging_0136/tillsyn/A 60299-2023 tillsynsbegäran.docx", "A 60299-2023")</f>
        <v/>
      </c>
      <c r="Y45">
        <f>HYPERLINK("https://klasma.github.io/Logging_0136/tillsynsmail/A 60299-2023 tillsynsbegäran mail.docx", "A 60299-2023")</f>
        <v/>
      </c>
    </row>
    <row r="46" ht="15" customHeight="1">
      <c r="A46" t="inlineStr">
        <is>
          <t>A 60369-2023</t>
        </is>
      </c>
      <c r="B46" s="1" t="n">
        <v>45259</v>
      </c>
      <c r="C46" s="1" t="n">
        <v>45701</v>
      </c>
      <c r="D46" t="inlineStr">
        <is>
          <t>STOCKHOLMS LÄN</t>
        </is>
      </c>
      <c r="E46" t="inlineStr">
        <is>
          <t>HANINGE</t>
        </is>
      </c>
      <c r="G46" t="n">
        <v>2.9</v>
      </c>
      <c r="H46" t="n">
        <v>1</v>
      </c>
      <c r="I46" t="n">
        <v>0</v>
      </c>
      <c r="J46" t="n">
        <v>0</v>
      </c>
      <c r="K46" t="n">
        <v>0</v>
      </c>
      <c r="L46" t="n">
        <v>0</v>
      </c>
      <c r="M46" t="n">
        <v>0</v>
      </c>
      <c r="N46" t="n">
        <v>0</v>
      </c>
      <c r="O46" t="n">
        <v>0</v>
      </c>
      <c r="P46" t="n">
        <v>0</v>
      </c>
      <c r="Q46" t="n">
        <v>1</v>
      </c>
      <c r="R46" s="2" t="inlineStr">
        <is>
          <t>Mattlummer</t>
        </is>
      </c>
      <c r="S46">
        <f>HYPERLINK("https://klasma.github.io/Logging_0136/artfynd/A 60369-2023 artfynd.xlsx", "A 60369-2023")</f>
        <v/>
      </c>
      <c r="T46">
        <f>HYPERLINK("https://klasma.github.io/Logging_0136/kartor/A 60369-2023 karta.png", "A 60369-2023")</f>
        <v/>
      </c>
      <c r="V46">
        <f>HYPERLINK("https://klasma.github.io/Logging_0136/klagomål/A 60369-2023 FSC-klagomål.docx", "A 60369-2023")</f>
        <v/>
      </c>
      <c r="W46">
        <f>HYPERLINK("https://klasma.github.io/Logging_0136/klagomålsmail/A 60369-2023 FSC-klagomål mail.docx", "A 60369-2023")</f>
        <v/>
      </c>
      <c r="X46">
        <f>HYPERLINK("https://klasma.github.io/Logging_0136/tillsyn/A 60369-2023 tillsynsbegäran.docx", "A 60369-2023")</f>
        <v/>
      </c>
      <c r="Y46">
        <f>HYPERLINK("https://klasma.github.io/Logging_0136/tillsynsmail/A 60369-2023 tillsynsbegäran mail.docx", "A 60369-2023")</f>
        <v/>
      </c>
    </row>
    <row r="47" ht="15" customHeight="1">
      <c r="A47" t="inlineStr">
        <is>
          <t>A 3952-2024</t>
        </is>
      </c>
      <c r="B47" s="1" t="n">
        <v>45322</v>
      </c>
      <c r="C47" s="1" t="n">
        <v>45701</v>
      </c>
      <c r="D47" t="inlineStr">
        <is>
          <t>STOCKHOLMS LÄN</t>
        </is>
      </c>
      <c r="E47" t="inlineStr">
        <is>
          <t>HANINGE</t>
        </is>
      </c>
      <c r="G47" t="n">
        <v>1.7</v>
      </c>
      <c r="H47" t="n">
        <v>1</v>
      </c>
      <c r="I47" t="n">
        <v>0</v>
      </c>
      <c r="J47" t="n">
        <v>0</v>
      </c>
      <c r="K47" t="n">
        <v>0</v>
      </c>
      <c r="L47" t="n">
        <v>0</v>
      </c>
      <c r="M47" t="n">
        <v>0</v>
      </c>
      <c r="N47" t="n">
        <v>0</v>
      </c>
      <c r="O47" t="n">
        <v>0</v>
      </c>
      <c r="P47" t="n">
        <v>0</v>
      </c>
      <c r="Q47" t="n">
        <v>1</v>
      </c>
      <c r="R47" s="2" t="inlineStr">
        <is>
          <t>Sångsvan</t>
        </is>
      </c>
      <c r="S47">
        <f>HYPERLINK("https://klasma.github.io/Logging_0136/artfynd/A 3952-2024 artfynd.xlsx", "A 3952-2024")</f>
        <v/>
      </c>
      <c r="T47">
        <f>HYPERLINK("https://klasma.github.io/Logging_0136/kartor/A 3952-2024 karta.png", "A 3952-2024")</f>
        <v/>
      </c>
      <c r="V47">
        <f>HYPERLINK("https://klasma.github.io/Logging_0136/klagomål/A 3952-2024 FSC-klagomål.docx", "A 3952-2024")</f>
        <v/>
      </c>
      <c r="W47">
        <f>HYPERLINK("https://klasma.github.io/Logging_0136/klagomålsmail/A 3952-2024 FSC-klagomål mail.docx", "A 3952-2024")</f>
        <v/>
      </c>
      <c r="X47">
        <f>HYPERLINK("https://klasma.github.io/Logging_0136/tillsyn/A 3952-2024 tillsynsbegäran.docx", "A 3952-2024")</f>
        <v/>
      </c>
      <c r="Y47">
        <f>HYPERLINK("https://klasma.github.io/Logging_0136/tillsynsmail/A 3952-2024 tillsynsbegäran mail.docx", "A 3952-2024")</f>
        <v/>
      </c>
      <c r="Z47">
        <f>HYPERLINK("https://klasma.github.io/Logging_0136/fåglar/A 3952-2024 prioriterade fågelarter.docx", "A 3952-2024")</f>
        <v/>
      </c>
    </row>
    <row r="48" ht="15" customHeight="1">
      <c r="A48" t="inlineStr">
        <is>
          <t>A 34656-2019</t>
        </is>
      </c>
      <c r="B48" s="1" t="n">
        <v>43657</v>
      </c>
      <c r="C48" s="1" t="n">
        <v>45701</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45701</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45701</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45701</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45701</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45701</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45701</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45701</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45701</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45701</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45701</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45701</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45701</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45701</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45701</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45701</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45701</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45701</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45701</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45701</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45701</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45701</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45701</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45701</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45701</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45701</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45701</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45701</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45701</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45701</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45701</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45701</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45701</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45701</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45701</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45701</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45701</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45701</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45701</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45701</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45701</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45701</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45701</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45701</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45701</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45701</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45701</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45701</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45701</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45701</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45701</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45701</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45701</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45701</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45701</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45701</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45701</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45701</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45701</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45701</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45701</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45701</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45701</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45701</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45701</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45701</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45701</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45701</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45701</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45701</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45701</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45701</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45701</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45701</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45701</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45701</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45701</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45701</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45701</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45701</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45701</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45701</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45701</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45701</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45701</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45701</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45701</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45701</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45701</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45701</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45701</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45701</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45701</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45701</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45701</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45701</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45701</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45701</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45701</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2025-02-13T16:31:19Z</dcterms:created>
  <dcterms:modified xmlns:dcterms="http://purl.org/dc/terms/" xmlns:xsi="http://www.w3.org/2001/XMLSchema-instance" xsi:type="dcterms:W3CDTF">2025-02-13T16:31:19Z</dcterms:modified>
</cp:coreProperties>
</file>