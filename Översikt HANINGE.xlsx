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46294</v>
      </c>
      <c r="F3" t="inlineStr">
        <is>
          <t>STOCKHOLMS LÄN</t>
        </is>
      </c>
      <c r="G3" t="inlineStr">
        <is>
          <t>HANINGE</t>
        </is>
      </c>
      <c r="I3" t="n">
        <v>19.9</v>
      </c>
      <c r="J3" t="n">
        <v>23</v>
      </c>
      <c r="K3" t="n">
        <v>21</v>
      </c>
      <c r="L3" t="n">
        <v>18</v>
      </c>
      <c r="M3" t="n">
        <v>7</v>
      </c>
      <c r="N3" t="n">
        <v>0</v>
      </c>
      <c r="O3" t="n">
        <v>0</v>
      </c>
      <c r="P3" t="n">
        <v>0</v>
      </c>
      <c r="Q3" t="n">
        <v>25</v>
      </c>
      <c r="R3" t="n">
        <v>7</v>
      </c>
      <c r="S3" t="n">
        <v>63</v>
      </c>
      <c r="T3" t="n">
        <v>275</v>
      </c>
      <c r="U3" t="n">
        <v>140</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46294</v>
      </c>
      <c r="F4" t="inlineStr">
        <is>
          <t>STOCKHOLMS LÄN</t>
        </is>
      </c>
      <c r="G4" t="inlineStr">
        <is>
          <t>HANINGE</t>
        </is>
      </c>
      <c r="I4" t="n">
        <v>19.8</v>
      </c>
      <c r="J4" t="n">
        <v>22</v>
      </c>
      <c r="K4" t="n">
        <v>20</v>
      </c>
      <c r="L4" t="n">
        <v>18</v>
      </c>
      <c r="M4" t="n">
        <v>7</v>
      </c>
      <c r="N4" t="n">
        <v>0</v>
      </c>
      <c r="O4" t="n">
        <v>0</v>
      </c>
      <c r="P4" t="n">
        <v>0</v>
      </c>
      <c r="Q4" t="n">
        <v>25</v>
      </c>
      <c r="R4" t="n">
        <v>7</v>
      </c>
      <c r="S4" t="n">
        <v>58</v>
      </c>
      <c r="T4" t="n">
        <v>266</v>
      </c>
      <c r="U4" t="n">
        <v>175</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46294</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46294</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46294</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46294</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46294</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46294</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46294</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46294</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46294</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46294</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46294</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46294</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28861-2026</t>
        </is>
      </c>
      <c r="B18" t="inlineStr">
        <is>
          <t>avverkningsanmälan</t>
        </is>
      </c>
      <c r="C18" t="inlineStr">
        <is>
          <t>Avverkning för annat ändamål</t>
        </is>
      </c>
      <c r="D18" s="1" t="n">
        <v>46199</v>
      </c>
      <c r="E18" s="1" t="n">
        <v>46294</v>
      </c>
      <c r="F18" t="inlineStr">
        <is>
          <t>STOCKHOLMS LÄN</t>
        </is>
      </c>
      <c r="G18" t="inlineStr">
        <is>
          <t>HANINGE</t>
        </is>
      </c>
      <c r="I18" t="n">
        <v>1.3</v>
      </c>
      <c r="J18" t="n">
        <v>1</v>
      </c>
      <c r="K18" t="n">
        <v>1</v>
      </c>
      <c r="L18" t="n">
        <v>1</v>
      </c>
      <c r="M18" t="n">
        <v>0</v>
      </c>
      <c r="N18" t="n">
        <v>0</v>
      </c>
      <c r="O18" t="n">
        <v>0</v>
      </c>
      <c r="P18" t="n">
        <v>0</v>
      </c>
      <c r="Q18" t="n">
        <v>1</v>
      </c>
      <c r="R18" t="n">
        <v>0</v>
      </c>
      <c r="S18" t="n">
        <v>3</v>
      </c>
      <c r="T18" t="n">
        <v>3</v>
      </c>
      <c r="U18" t="n">
        <v>2</v>
      </c>
      <c r="V18" s="2" t="inlineStr">
        <is>
          <t>Skogshare
Grovticka
Nattskärra</t>
        </is>
      </c>
      <c r="W18">
        <f>HYPERLINK("https://klasma.github.io/Logging_0136/artfynd/A 28861-2026 artfynd.xlsx", "A 28861-2026")</f>
        <v/>
      </c>
      <c r="X18">
        <f>HYPERLINK("https://klasma.github.io/Logging_0136/kartor/A 28861-2026 karta.png", "A 28861-2026")</f>
        <v/>
      </c>
      <c r="Y18">
        <f>HYPERLINK("https://klasma.github.io/Logging_0136/kartor_geotiff/A 28861-2026 georefererad karta.tif", "A 28861-2026")</f>
        <v/>
      </c>
      <c r="AA18">
        <f>HYPERLINK("https://klasma.github.io/Logging_0136/klagomål/A 28861-2026 FSC-klagomål.docx", "A 28861-2026")</f>
        <v/>
      </c>
      <c r="AB18">
        <f>HYPERLINK("https://klasma.github.io/Logging_0136/klagomålsmail/A 28861-2026 FSC-klagomål mail.docx", "A 28861-2026")</f>
        <v/>
      </c>
      <c r="AC18">
        <f>HYPERLINK("https://klasma.github.io/Logging_0136/tillsyn/A 28861-2026 tillsynsbegäran.docx", "A 28861-2026")</f>
        <v/>
      </c>
      <c r="AD18">
        <f>HYPERLINK("https://klasma.github.io/Logging_0136/tillsynsmail/A 28861-2026 tillsynsbegäran mail.docx", "A 28861-2026")</f>
        <v/>
      </c>
      <c r="AE18">
        <f>HYPERLINK("https://klasma.github.io/Logging_0136/fåglar/A 28861-2026 prioriterade fågelarter.docx", "A 28861-2026")</f>
        <v/>
      </c>
    </row>
    <row r="19" ht="15" customHeight="1">
      <c r="A19" t="inlineStr">
        <is>
          <t>A 14729-2023</t>
        </is>
      </c>
      <c r="B19" t="inlineStr">
        <is>
          <t>avverkningsanmälan</t>
        </is>
      </c>
      <c r="C19" t="inlineStr">
        <is>
          <t>Föryngringsavverkning</t>
        </is>
      </c>
      <c r="D19" s="1" t="n">
        <v>45014</v>
      </c>
      <c r="E19" s="1" t="n">
        <v>46294</v>
      </c>
      <c r="F19" t="inlineStr">
        <is>
          <t>STOCKHOLMS LÄN</t>
        </is>
      </c>
      <c r="G19" t="inlineStr">
        <is>
          <t>HANINGE</t>
        </is>
      </c>
      <c r="I19" t="n">
        <v>0.2</v>
      </c>
      <c r="J19" t="n">
        <v>0</v>
      </c>
      <c r="K19" t="n">
        <v>2</v>
      </c>
      <c r="L19" t="n">
        <v>1</v>
      </c>
      <c r="M19" t="n">
        <v>0</v>
      </c>
      <c r="N19" t="n">
        <v>0</v>
      </c>
      <c r="O19" t="n">
        <v>0</v>
      </c>
      <c r="P19" t="n">
        <v>0</v>
      </c>
      <c r="Q19" t="n">
        <v>1</v>
      </c>
      <c r="R19" t="n">
        <v>0</v>
      </c>
      <c r="S19" t="n">
        <v>3</v>
      </c>
      <c r="T19" t="n">
        <v>4</v>
      </c>
      <c r="U19" t="n">
        <v>0</v>
      </c>
      <c r="V19" s="2" t="inlineStr">
        <is>
          <t>Ullticka
Granbarkgnagare
Mindre märgborre</t>
        </is>
      </c>
      <c r="W19">
        <f>HYPERLINK("https://klasma.github.io/Logging_0136/artfynd/A 14729-2023 artfynd.xlsx", "A 14729-2023")</f>
        <v/>
      </c>
      <c r="X19">
        <f>HYPERLINK("https://klasma.github.io/Logging_0136/kartor/A 14729-2023 karta.png", "A 14729-2023")</f>
        <v/>
      </c>
      <c r="Y19">
        <f>HYPERLINK("https://klasma.github.io/Logging_0136/kartor_geotiff/A 14729-2023 georefererad karta.tif", "A 14729-2023")</f>
        <v/>
      </c>
      <c r="AA19">
        <f>HYPERLINK("https://klasma.github.io/Logging_0136/klagomål/A 14729-2023 FSC-klagomål.docx", "A 14729-2023")</f>
        <v/>
      </c>
      <c r="AB19">
        <f>HYPERLINK("https://klasma.github.io/Logging_0136/klagomålsmail/A 14729-2023 FSC-klagomål mail.docx", "A 14729-2023")</f>
        <v/>
      </c>
      <c r="AC19">
        <f>HYPERLINK("https://klasma.github.io/Logging_0136/tillsyn/A 14729-2023 tillsynsbegäran.docx", "A 14729-2023")</f>
        <v/>
      </c>
      <c r="AD19">
        <f>HYPERLINK("https://klasma.github.io/Logging_0136/tillsynsmail/A 14729-2023 tillsynsbegäran mail.docx", "A 14729-2023")</f>
        <v/>
      </c>
    </row>
    <row r="20" ht="15" customHeight="1">
      <c r="A20" t="inlineStr">
        <is>
          <t>A 21231-2025</t>
        </is>
      </c>
      <c r="B20" t="inlineStr">
        <is>
          <t>avverkningsanmälan</t>
        </is>
      </c>
      <c r="C20" t="inlineStr">
        <is>
          <t>Föryngringsavverkning</t>
        </is>
      </c>
      <c r="D20" s="1" t="n">
        <v>45779</v>
      </c>
      <c r="E20" s="1" t="n">
        <v>46294</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46294</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46294</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46294</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59570-2025</t>
        </is>
      </c>
      <c r="B24" t="inlineStr">
        <is>
          <t>avverkningsanmälan</t>
        </is>
      </c>
      <c r="C24" t="inlineStr">
        <is>
          <t>Föryngringsavverkning</t>
        </is>
      </c>
      <c r="D24" s="1" t="n">
        <v>45991</v>
      </c>
      <c r="E24" s="1" t="n">
        <v>46294</v>
      </c>
      <c r="F24" t="inlineStr">
        <is>
          <t>STOCKHOLMS LÄN</t>
        </is>
      </c>
      <c r="G24" t="inlineStr">
        <is>
          <t>HANINGE</t>
        </is>
      </c>
      <c r="I24" t="n">
        <v>2.3</v>
      </c>
      <c r="J24" t="n">
        <v>1</v>
      </c>
      <c r="K24" t="n">
        <v>0</v>
      </c>
      <c r="L24" t="n">
        <v>0</v>
      </c>
      <c r="M24" t="n">
        <v>0</v>
      </c>
      <c r="N24" t="n">
        <v>0</v>
      </c>
      <c r="O24" t="n">
        <v>0</v>
      </c>
      <c r="P24" t="n">
        <v>0</v>
      </c>
      <c r="Q24" t="n">
        <v>0</v>
      </c>
      <c r="R24" t="n">
        <v>0</v>
      </c>
      <c r="S24" t="n">
        <v>1</v>
      </c>
      <c r="T24" t="n">
        <v>1</v>
      </c>
      <c r="U24" t="n">
        <v>0</v>
      </c>
      <c r="V24" s="2" t="inlineStr">
        <is>
          <t>Fjällvråk</t>
        </is>
      </c>
      <c r="W24">
        <f>HYPERLINK("https://klasma.github.io/Logging_0136/artfynd/A 59570-2025 artfynd.xlsx", "A 59570-2025")</f>
        <v/>
      </c>
      <c r="X24">
        <f>HYPERLINK("https://klasma.github.io/Logging_0136/kartor/A 59570-2025 karta.png", "A 59570-2025")</f>
        <v/>
      </c>
      <c r="Y24">
        <f>HYPERLINK("https://klasma.github.io/Logging_0136/kartor_geotiff/A 59570-2025 georefererad karta.tif", "A 59570-2025")</f>
        <v/>
      </c>
      <c r="AA24">
        <f>HYPERLINK("https://klasma.github.io/Logging_0136/klagomål/A 59570-2025 FSC-klagomål.docx", "A 59570-2025")</f>
        <v/>
      </c>
      <c r="AB24">
        <f>HYPERLINK("https://klasma.github.io/Logging_0136/klagomålsmail/A 59570-2025 FSC-klagomål mail.docx", "A 59570-2025")</f>
        <v/>
      </c>
      <c r="AC24">
        <f>HYPERLINK("https://klasma.github.io/Logging_0136/tillsyn/A 59570-2025 tillsynsbegäran.docx", "A 59570-2025")</f>
        <v/>
      </c>
      <c r="AD24">
        <f>HYPERLINK("https://klasma.github.io/Logging_0136/tillsynsmail/A 59570-2025 tillsynsbegäran mail.docx", "A 59570-2025")</f>
        <v/>
      </c>
      <c r="AE24">
        <f>HYPERLINK("https://klasma.github.io/Logging_0136/fåglar/A 59570-2025 prioriterade fågelarter.docx", "A 59570-2025")</f>
        <v/>
      </c>
    </row>
    <row r="25" ht="15" customHeight="1">
      <c r="A25" t="inlineStr">
        <is>
          <t>A 34823-2022</t>
        </is>
      </c>
      <c r="B25" t="inlineStr">
        <is>
          <t>avverkningsanmälan</t>
        </is>
      </c>
      <c r="C25" t="inlineStr">
        <is>
          <t>Föryngringsavverkning</t>
        </is>
      </c>
      <c r="D25" s="1" t="n">
        <v>44796</v>
      </c>
      <c r="E25" s="1" t="n">
        <v>46294</v>
      </c>
      <c r="F25" t="inlineStr">
        <is>
          <t>STOCKHOLMS LÄN</t>
        </is>
      </c>
      <c r="G25" t="inlineStr">
        <is>
          <t>HANINGE</t>
        </is>
      </c>
      <c r="I25" t="n">
        <v>12</v>
      </c>
      <c r="J25" t="n">
        <v>0</v>
      </c>
      <c r="K25" t="n">
        <v>0</v>
      </c>
      <c r="L25" t="n">
        <v>0</v>
      </c>
      <c r="M25" t="n">
        <v>1</v>
      </c>
      <c r="N25" t="n">
        <v>0</v>
      </c>
      <c r="O25" t="n">
        <v>0</v>
      </c>
      <c r="P25" t="n">
        <v>0</v>
      </c>
      <c r="Q25" t="n">
        <v>1</v>
      </c>
      <c r="R25" t="n">
        <v>1</v>
      </c>
      <c r="S25" t="n">
        <v>1</v>
      </c>
      <c r="T25" t="n">
        <v>1</v>
      </c>
      <c r="U25" t="n">
        <v>0</v>
      </c>
      <c r="V25" s="2" t="inlineStr">
        <is>
          <t>Mörk kraterlav</t>
        </is>
      </c>
      <c r="W25">
        <f>HYPERLINK("https://klasma.github.io/Logging_0136/artfynd/A 34823-2022 artfynd.xlsx", "A 34823-2022")</f>
        <v/>
      </c>
      <c r="X25">
        <f>HYPERLINK("https://klasma.github.io/Logging_0136/kartor/A 34823-2022 karta.png", "A 34823-2022")</f>
        <v/>
      </c>
      <c r="Y25">
        <f>HYPERLINK("https://klasma.github.io/Logging_0136/kartor_geotiff/A 34823-2022 georefererad karta.tif", "A 34823-2022")</f>
        <v/>
      </c>
      <c r="AA25">
        <f>HYPERLINK("https://klasma.github.io/Logging_0136/klagomål/A 34823-2022 FSC-klagomål.docx", "A 34823-2022")</f>
        <v/>
      </c>
      <c r="AB25">
        <f>HYPERLINK("https://klasma.github.io/Logging_0136/klagomålsmail/A 34823-2022 FSC-klagomål mail.docx", "A 34823-2022")</f>
        <v/>
      </c>
      <c r="AC25">
        <f>HYPERLINK("https://klasma.github.io/Logging_0136/tillsyn/A 34823-2022 tillsynsbegäran.docx", "A 34823-2022")</f>
        <v/>
      </c>
      <c r="AD25">
        <f>HYPERLINK("https://klasma.github.io/Logging_0136/tillsynsmail/A 34823-2022 tillsynsbegäran mail.docx", "A 34823-2022")</f>
        <v/>
      </c>
    </row>
    <row r="26" ht="15" customHeight="1">
      <c r="A26" t="inlineStr">
        <is>
          <t>A 6648-2023</t>
        </is>
      </c>
      <c r="B26" t="inlineStr">
        <is>
          <t>avverkningsanmälan</t>
        </is>
      </c>
      <c r="C26" t="inlineStr">
        <is>
          <t>Föryngringsavverkning</t>
        </is>
      </c>
      <c r="D26" s="1" t="n">
        <v>44966</v>
      </c>
      <c r="E26" s="1" t="n">
        <v>46294</v>
      </c>
      <c r="F26" t="inlineStr">
        <is>
          <t>STOCKHOLMS LÄN</t>
        </is>
      </c>
      <c r="G26" t="inlineStr">
        <is>
          <t>HANINGE</t>
        </is>
      </c>
      <c r="I26" t="n">
        <v>4</v>
      </c>
      <c r="J26" t="n">
        <v>1</v>
      </c>
      <c r="K26" t="n">
        <v>0</v>
      </c>
      <c r="L26" t="n">
        <v>1</v>
      </c>
      <c r="M26" t="n">
        <v>0</v>
      </c>
      <c r="N26" t="n">
        <v>0</v>
      </c>
      <c r="O26" t="n">
        <v>0</v>
      </c>
      <c r="P26" t="n">
        <v>0</v>
      </c>
      <c r="Q26" t="n">
        <v>1</v>
      </c>
      <c r="R26" t="n">
        <v>0</v>
      </c>
      <c r="S26" t="n">
        <v>1</v>
      </c>
      <c r="T26" t="n">
        <v>1</v>
      </c>
      <c r="U26" t="n">
        <v>0</v>
      </c>
      <c r="V26" s="2" t="inlineStr">
        <is>
          <t>Nötkråka</t>
        </is>
      </c>
      <c r="W26">
        <f>HYPERLINK("https://klasma.github.io/Logging_0136/artfynd/A 6648-2023 artfynd.xlsx", "A 6648-2023")</f>
        <v/>
      </c>
      <c r="X26">
        <f>HYPERLINK("https://klasma.github.io/Logging_0136/kartor/A 6648-2023 karta.png", "A 6648-2023")</f>
        <v/>
      </c>
      <c r="Y26">
        <f>HYPERLINK("https://klasma.github.io/Logging_0136/kartor_geotiff/A 6648-2023 georefererad karta.tif", "A 6648-2023")</f>
        <v/>
      </c>
      <c r="AA26">
        <f>HYPERLINK("https://klasma.github.io/Logging_0136/klagomål/A 6648-2023 FSC-klagomål.docx", "A 6648-2023")</f>
        <v/>
      </c>
      <c r="AB26">
        <f>HYPERLINK("https://klasma.github.io/Logging_0136/klagomålsmail/A 6648-2023 FSC-klagomål mail.docx", "A 6648-2023")</f>
        <v/>
      </c>
      <c r="AC26">
        <f>HYPERLINK("https://klasma.github.io/Logging_0136/tillsyn/A 6648-2023 tillsynsbegäran.docx", "A 6648-2023")</f>
        <v/>
      </c>
      <c r="AD26">
        <f>HYPERLINK("https://klasma.github.io/Logging_0136/tillsynsmail/A 6648-2023 tillsynsbegäran mail.docx", "A 6648-2023")</f>
        <v/>
      </c>
      <c r="AE26">
        <f>HYPERLINK("https://klasma.github.io/Logging_0136/fåglar/A 6648-2023 prioriterade fågelarter.docx", "A 6648-2023")</f>
        <v/>
      </c>
    </row>
    <row r="27" ht="15" customHeight="1">
      <c r="A27" t="inlineStr">
        <is>
          <t>A 60369-2023</t>
        </is>
      </c>
      <c r="B27" t="inlineStr">
        <is>
          <t>avverkningsanmälan</t>
        </is>
      </c>
      <c r="C27" t="inlineStr">
        <is>
          <t>Föryngringsavverkning</t>
        </is>
      </c>
      <c r="D27" s="1" t="n">
        <v>45259</v>
      </c>
      <c r="E27" s="1" t="n">
        <v>46294</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32479-2026</t>
        </is>
      </c>
      <c r="B28" t="inlineStr">
        <is>
          <t>avverkningsanmälan</t>
        </is>
      </c>
      <c r="C28" t="inlineStr">
        <is>
          <t>Föryngringsavverkning</t>
        </is>
      </c>
      <c r="D28" s="1" t="n">
        <v>46239</v>
      </c>
      <c r="E28" s="1" t="n">
        <v>46294</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46294</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46294</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46294</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46294</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46294</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46294</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46294</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46294</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46294</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46294</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46294</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4297-2024</t>
        </is>
      </c>
      <c r="B40" t="inlineStr">
        <is>
          <t>avverkningsanmälan</t>
        </is>
      </c>
      <c r="C40" t="inlineStr">
        <is>
          <t>Föryngringsavverkning</t>
        </is>
      </c>
      <c r="D40" s="1" t="n">
        <v>45324</v>
      </c>
      <c r="E40" s="1" t="n">
        <v>46294</v>
      </c>
      <c r="F40" t="inlineStr">
        <is>
          <t>STOCKHOLMS LÄN</t>
        </is>
      </c>
      <c r="G40" t="inlineStr">
        <is>
          <t>HANINGE</t>
        </is>
      </c>
      <c r="H40" t="inlineStr">
        <is>
          <t>Kommuner</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9946-2024</t>
        </is>
      </c>
      <c r="B41" t="inlineStr">
        <is>
          <t>avverkningsanmälan</t>
        </is>
      </c>
      <c r="C41" t="inlineStr">
        <is>
          <t>Föryngringsavverkning</t>
        </is>
      </c>
      <c r="D41" s="1" t="n">
        <v>45363</v>
      </c>
      <c r="E41" s="1" t="n">
        <v>46294</v>
      </c>
      <c r="F41" t="inlineStr">
        <is>
          <t>STOCKHOLMS LÄN</t>
        </is>
      </c>
      <c r="G41" t="inlineStr">
        <is>
          <t>HANINGE</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24193-2025</t>
        </is>
      </c>
      <c r="B42" t="inlineStr">
        <is>
          <t>avverkningsanmälan</t>
        </is>
      </c>
      <c r="C42" t="inlineStr">
        <is>
          <t>Föryngringsavverkning</t>
        </is>
      </c>
      <c r="D42" s="1" t="n">
        <v>45796</v>
      </c>
      <c r="E42" s="1" t="n">
        <v>46294</v>
      </c>
      <c r="F42" t="inlineStr">
        <is>
          <t>STOCKHOLMS LÄN</t>
        </is>
      </c>
      <c r="G42" t="inlineStr">
        <is>
          <t>HANINGE</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64075-2023</t>
        </is>
      </c>
      <c r="B43" t="inlineStr">
        <is>
          <t>avverkningsanmälan</t>
        </is>
      </c>
      <c r="C43" t="inlineStr">
        <is>
          <t>Föryngringsavverkning</t>
        </is>
      </c>
      <c r="D43" s="1" t="n">
        <v>45279</v>
      </c>
      <c r="E43" s="1" t="n">
        <v>46294</v>
      </c>
      <c r="F43" t="inlineStr">
        <is>
          <t>STOCKHOLMS LÄN</t>
        </is>
      </c>
      <c r="G43" t="inlineStr">
        <is>
          <t>HANINGE</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13046-2022</t>
        </is>
      </c>
      <c r="B44" t="inlineStr">
        <is>
          <t>avverkningsanmälan</t>
        </is>
      </c>
      <c r="C44" t="inlineStr">
        <is>
          <t>Föryngringsavverkning</t>
        </is>
      </c>
      <c r="D44" s="1" t="n">
        <v>44643</v>
      </c>
      <c r="E44" s="1" t="n">
        <v>46294</v>
      </c>
      <c r="F44" t="inlineStr">
        <is>
          <t>STOCKHOLMS LÄN</t>
        </is>
      </c>
      <c r="G44" t="inlineStr">
        <is>
          <t>HANINGE</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27596-2025</t>
        </is>
      </c>
      <c r="B45" t="inlineStr">
        <is>
          <t>avverkningsanmälan</t>
        </is>
      </c>
      <c r="C45" t="inlineStr">
        <is>
          <t>Avverkning för att bevara och utveckla /försöksver</t>
        </is>
      </c>
      <c r="D45" s="1" t="n">
        <v>45813</v>
      </c>
      <c r="E45" s="1" t="n">
        <v>46294</v>
      </c>
      <c r="F45" t="inlineStr">
        <is>
          <t>STOCKHOLMS LÄN</t>
        </is>
      </c>
      <c r="G45" t="inlineStr">
        <is>
          <t>HANINGE</t>
        </is>
      </c>
      <c r="I45" t="n">
        <v>0.1</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46294</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22288-2023</t>
        </is>
      </c>
      <c r="B47" t="inlineStr">
        <is>
          <t>avverkningsanmälan</t>
        </is>
      </c>
      <c r="C47" t="inlineStr">
        <is>
          <t>Föryngringsavverkning</t>
        </is>
      </c>
      <c r="D47" s="1" t="n">
        <v>45070</v>
      </c>
      <c r="E47" s="1" t="n">
        <v>46294</v>
      </c>
      <c r="F47" t="inlineStr">
        <is>
          <t>STOCKHOLMS LÄN</t>
        </is>
      </c>
      <c r="G47" t="inlineStr">
        <is>
          <t>HANINGE</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14264-2025</t>
        </is>
      </c>
      <c r="B48" t="inlineStr">
        <is>
          <t>avverkningsanmälan</t>
        </is>
      </c>
      <c r="C48" t="inlineStr">
        <is>
          <t>Föryngringsavverkning</t>
        </is>
      </c>
      <c r="D48" s="1" t="n">
        <v>45740</v>
      </c>
      <c r="E48" s="1" t="n">
        <v>46294</v>
      </c>
      <c r="F48" t="inlineStr">
        <is>
          <t>STOCKHOLMS LÄN</t>
        </is>
      </c>
      <c r="G48" t="inlineStr">
        <is>
          <t>HANINGE</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18512-2024</t>
        </is>
      </c>
      <c r="B49" t="inlineStr">
        <is>
          <t>avverkningsanmälan</t>
        </is>
      </c>
      <c r="C49" t="inlineStr">
        <is>
          <t>Föryngringsavverkning</t>
        </is>
      </c>
      <c r="D49" s="1" t="n">
        <v>45425</v>
      </c>
      <c r="E49" s="1" t="n">
        <v>46294</v>
      </c>
      <c r="F49" t="inlineStr">
        <is>
          <t>STOCKHOLMS LÄN</t>
        </is>
      </c>
      <c r="G49" t="inlineStr">
        <is>
          <t>HANINGE</t>
        </is>
      </c>
      <c r="H49" t="inlineStr">
        <is>
          <t>Kommuner</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59569-2025</t>
        </is>
      </c>
      <c r="B50" t="inlineStr">
        <is>
          <t>avverkningsanmälan</t>
        </is>
      </c>
      <c r="C50" t="inlineStr">
        <is>
          <t>Föryngringsavverkning</t>
        </is>
      </c>
      <c r="D50" s="1" t="n">
        <v>45991</v>
      </c>
      <c r="E50" s="1" t="n">
        <v>46294</v>
      </c>
      <c r="F50" t="inlineStr">
        <is>
          <t>STOCKHOLMS LÄN</t>
        </is>
      </c>
      <c r="G50" t="inlineStr">
        <is>
          <t>HANINGE</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46294</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46294</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18490-2025</t>
        </is>
      </c>
      <c r="B53" t="inlineStr">
        <is>
          <t>avverkningsanmälan</t>
        </is>
      </c>
      <c r="C53" t="inlineStr">
        <is>
          <t>Föryngringsavverkning</t>
        </is>
      </c>
      <c r="D53" s="1" t="n">
        <v>45763</v>
      </c>
      <c r="E53" s="1" t="n">
        <v>46294</v>
      </c>
      <c r="F53" t="inlineStr">
        <is>
          <t>STOCKHOLMS LÄN</t>
        </is>
      </c>
      <c r="G53" t="inlineStr">
        <is>
          <t>HANINGE</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18548-2024</t>
        </is>
      </c>
      <c r="B54" t="inlineStr">
        <is>
          <t>avverkningsanmälan</t>
        </is>
      </c>
      <c r="C54" t="inlineStr">
        <is>
          <t>Föryngringsavverkning</t>
        </is>
      </c>
      <c r="D54" s="1" t="n">
        <v>45425</v>
      </c>
      <c r="E54" s="1" t="n">
        <v>46294</v>
      </c>
      <c r="F54" t="inlineStr">
        <is>
          <t>STOCKHOLMS LÄN</t>
        </is>
      </c>
      <c r="G54" t="inlineStr">
        <is>
          <t>HANINGE</t>
        </is>
      </c>
      <c r="H54" t="inlineStr">
        <is>
          <t>Kommuner</t>
        </is>
      </c>
      <c r="I54" t="n">
        <v>7.3</v>
      </c>
      <c r="J54" t="n">
        <v>0</v>
      </c>
      <c r="K54" t="n">
        <v>0</v>
      </c>
      <c r="L54" t="n">
        <v>0</v>
      </c>
      <c r="M54" t="n">
        <v>0</v>
      </c>
      <c r="N54" t="n">
        <v>0</v>
      </c>
      <c r="O54" t="n">
        <v>0</v>
      </c>
      <c r="P54" t="n">
        <v>0</v>
      </c>
      <c r="Q54" t="n">
        <v>0</v>
      </c>
      <c r="R54" t="n">
        <v>0</v>
      </c>
      <c r="S54" t="n">
        <v>0</v>
      </c>
      <c r="T54" t="n">
        <v>0</v>
      </c>
      <c r="U54" t="n">
        <v>0</v>
      </c>
      <c r="V54" s="2" t="inlineStr"/>
    </row>
    <row r="55" ht="15" customHeight="1">
      <c r="A55" t="inlineStr">
        <is>
          <t>A 20839-2024</t>
        </is>
      </c>
      <c r="B55" t="inlineStr">
        <is>
          <t>avverkningsanmälan</t>
        </is>
      </c>
      <c r="C55" t="inlineStr">
        <is>
          <t>Föryngringsavverkning</t>
        </is>
      </c>
      <c r="D55" s="1" t="n">
        <v>45439</v>
      </c>
      <c r="E55" s="1" t="n">
        <v>46294</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32948-2025</t>
        </is>
      </c>
      <c r="B56" t="inlineStr">
        <is>
          <t>avverkningsanmälan</t>
        </is>
      </c>
      <c r="C56" t="inlineStr">
        <is>
          <t>Föryngringsavverkning</t>
        </is>
      </c>
      <c r="D56" s="1" t="n">
        <v>45839</v>
      </c>
      <c r="E56" s="1" t="n">
        <v>46294</v>
      </c>
      <c r="F56" t="inlineStr">
        <is>
          <t>STOCKHOLMS LÄN</t>
        </is>
      </c>
      <c r="G56" t="inlineStr">
        <is>
          <t>HANINGE</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5474-2024</t>
        </is>
      </c>
      <c r="B57" t="inlineStr">
        <is>
          <t>avverkningsanmälan</t>
        </is>
      </c>
      <c r="C57" t="inlineStr">
        <is>
          <t>Föryngringsavverkning</t>
        </is>
      </c>
      <c r="D57" s="1" t="n">
        <v>45333</v>
      </c>
      <c r="E57" s="1" t="n">
        <v>46294</v>
      </c>
      <c r="F57" t="inlineStr">
        <is>
          <t>STOCKHOLMS LÄN</t>
        </is>
      </c>
      <c r="G57" t="inlineStr">
        <is>
          <t>HANINGE</t>
        </is>
      </c>
      <c r="H57" t="inlineStr">
        <is>
          <t>Kommuner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23666-2024</t>
        </is>
      </c>
      <c r="B58" t="inlineStr">
        <is>
          <t>avverkningsanmälan</t>
        </is>
      </c>
      <c r="C58" t="inlineStr">
        <is>
          <t>Föryngringsavverkning</t>
        </is>
      </c>
      <c r="D58" s="1" t="n">
        <v>45454</v>
      </c>
      <c r="E58" s="1" t="n">
        <v>46294</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68896-2021</t>
        </is>
      </c>
      <c r="B59" t="inlineStr">
        <is>
          <t>avverkningsanmälan</t>
        </is>
      </c>
      <c r="C59" t="inlineStr">
        <is>
          <t>Föryngringsavverkning</t>
        </is>
      </c>
      <c r="D59" s="1" t="n">
        <v>44526</v>
      </c>
      <c r="E59" s="1" t="n">
        <v>46294</v>
      </c>
      <c r="F59" t="inlineStr">
        <is>
          <t>STOCKHOLMS LÄN</t>
        </is>
      </c>
      <c r="G59" t="inlineStr">
        <is>
          <t>HANINGE</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46294</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52770-2024</t>
        </is>
      </c>
      <c r="B61" t="inlineStr">
        <is>
          <t>avverkningsanmälan</t>
        </is>
      </c>
      <c r="C61" t="inlineStr">
        <is>
          <t>Föryngringsavverkning</t>
        </is>
      </c>
      <c r="D61" s="1" t="n">
        <v>45610</v>
      </c>
      <c r="E61" s="1" t="n">
        <v>46294</v>
      </c>
      <c r="F61" t="inlineStr">
        <is>
          <t>STOCKHOLMS LÄN</t>
        </is>
      </c>
      <c r="G61" t="inlineStr">
        <is>
          <t>HANINGE</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46294</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14900-2025</t>
        </is>
      </c>
      <c r="B63" t="inlineStr">
        <is>
          <t>avverkningsanmälan</t>
        </is>
      </c>
      <c r="C63" t="inlineStr">
        <is>
          <t>Föryngringsavverkning</t>
        </is>
      </c>
      <c r="D63" s="1" t="n">
        <v>45743</v>
      </c>
      <c r="E63" s="1" t="n">
        <v>46294</v>
      </c>
      <c r="F63" t="inlineStr">
        <is>
          <t>STOCKHOLMS LÄN</t>
        </is>
      </c>
      <c r="G63" t="inlineStr">
        <is>
          <t>HANINGE</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20527-2025</t>
        </is>
      </c>
      <c r="B64" t="inlineStr">
        <is>
          <t>avverkningsanmälan</t>
        </is>
      </c>
      <c r="C64" t="inlineStr">
        <is>
          <t>Föryngringsavverkning</t>
        </is>
      </c>
      <c r="D64" s="1" t="n">
        <v>45775</v>
      </c>
      <c r="E64" s="1" t="n">
        <v>46294</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64568-2023</t>
        </is>
      </c>
      <c r="B65" t="inlineStr">
        <is>
          <t>avverkningsanmälan</t>
        </is>
      </c>
      <c r="C65" t="inlineStr">
        <is>
          <t>Föryngringsavverkning</t>
        </is>
      </c>
      <c r="D65" s="1" t="n">
        <v>45281</v>
      </c>
      <c r="E65" s="1" t="n">
        <v>46294</v>
      </c>
      <c r="F65" t="inlineStr">
        <is>
          <t>STOCKHOLMS LÄN</t>
        </is>
      </c>
      <c r="G65" t="inlineStr">
        <is>
          <t>HANINGE</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46294</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24873-2023</t>
        </is>
      </c>
      <c r="B67" t="inlineStr">
        <is>
          <t>avverkningsanmälan</t>
        </is>
      </c>
      <c r="C67" t="inlineStr">
        <is>
          <t>Föryngringsavverkning</t>
        </is>
      </c>
      <c r="D67" s="1" t="n">
        <v>45085</v>
      </c>
      <c r="E67" s="1" t="n">
        <v>46294</v>
      </c>
      <c r="F67" t="inlineStr">
        <is>
          <t>STOCKHOLMS LÄN</t>
        </is>
      </c>
      <c r="G67" t="inlineStr">
        <is>
          <t>HANINGE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58599-2023</t>
        </is>
      </c>
      <c r="B68" t="inlineStr">
        <is>
          <t>avverkningsanmälan</t>
        </is>
      </c>
      <c r="C68" t="inlineStr">
        <is>
          <t>Föryngringsavverkning</t>
        </is>
      </c>
      <c r="D68" s="1" t="n">
        <v>45251</v>
      </c>
      <c r="E68" s="1" t="n">
        <v>46294</v>
      </c>
      <c r="F68" t="inlineStr">
        <is>
          <t>STOCKHOLMS LÄN</t>
        </is>
      </c>
      <c r="G68" t="inlineStr">
        <is>
          <t>HANINGE</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52836-2024</t>
        </is>
      </c>
      <c r="B69" t="inlineStr">
        <is>
          <t>avverkningsanmälan</t>
        </is>
      </c>
      <c r="C69" t="inlineStr">
        <is>
          <t>Föryngringsavverkning</t>
        </is>
      </c>
      <c r="D69" s="1" t="n">
        <v>45610</v>
      </c>
      <c r="E69" s="1" t="n">
        <v>46294</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24800-2026</t>
        </is>
      </c>
      <c r="B70" t="inlineStr">
        <is>
          <t>avverkningsanmälan</t>
        </is>
      </c>
      <c r="C70" t="inlineStr">
        <is>
          <t>Föryngringsavverkning</t>
        </is>
      </c>
      <c r="D70" s="1" t="n">
        <v>46171</v>
      </c>
      <c r="E70" s="1" t="n">
        <v>46294</v>
      </c>
      <c r="F70" t="inlineStr">
        <is>
          <t>STOCKHOLMS LÄN</t>
        </is>
      </c>
      <c r="G70" t="inlineStr">
        <is>
          <t>HANINGE</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8078-2024</t>
        </is>
      </c>
      <c r="B71" t="inlineStr">
        <is>
          <t>avverkningsanmälan</t>
        </is>
      </c>
      <c r="C71" t="inlineStr">
        <is>
          <t>Föryngringsavverkning</t>
        </is>
      </c>
      <c r="D71" s="1" t="n">
        <v>45351</v>
      </c>
      <c r="E71" s="1" t="n">
        <v>46294</v>
      </c>
      <c r="F71" t="inlineStr">
        <is>
          <t>STOCKHOLMS LÄN</t>
        </is>
      </c>
      <c r="G71" t="inlineStr">
        <is>
          <t>HANINGE</t>
        </is>
      </c>
      <c r="H71" t="inlineStr">
        <is>
          <t>Kommuner</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26417-2026</t>
        </is>
      </c>
      <c r="B72" t="inlineStr">
        <is>
          <t>avverkningsanmälan</t>
        </is>
      </c>
      <c r="C72" t="inlineStr">
        <is>
          <t>Föryngringsavverkning</t>
        </is>
      </c>
      <c r="D72" s="1" t="n">
        <v>46183</v>
      </c>
      <c r="E72" s="1" t="n">
        <v>46294</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26886-2026</t>
        </is>
      </c>
      <c r="B73" t="inlineStr">
        <is>
          <t>avverkningsanmälan</t>
        </is>
      </c>
      <c r="C73" t="inlineStr">
        <is>
          <t>Avverkning för annat ändamål</t>
        </is>
      </c>
      <c r="D73" s="1" t="n">
        <v>46185</v>
      </c>
      <c r="E73" s="1" t="n">
        <v>46294</v>
      </c>
      <c r="F73" t="inlineStr">
        <is>
          <t>STOCKHOLMS LÄN</t>
        </is>
      </c>
      <c r="G73" t="inlineStr">
        <is>
          <t>HANINGE</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19220-2023</t>
        </is>
      </c>
      <c r="B74" t="inlineStr">
        <is>
          <t>avverkningsanmälan</t>
        </is>
      </c>
      <c r="C74" t="inlineStr">
        <is>
          <t>Föryngringsavverkning</t>
        </is>
      </c>
      <c r="D74" s="1" t="n">
        <v>45048</v>
      </c>
      <c r="E74" s="1" t="n">
        <v>46294</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46294</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46294</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46294</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68894-2021</t>
        </is>
      </c>
      <c r="B78" t="inlineStr">
        <is>
          <t>avverkningsanmälan</t>
        </is>
      </c>
      <c r="C78" t="inlineStr">
        <is>
          <t>Föryngringsavverkning</t>
        </is>
      </c>
      <c r="D78" s="1" t="n">
        <v>44526</v>
      </c>
      <c r="E78" s="1" t="n">
        <v>46294</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18491-2025</t>
        </is>
      </c>
      <c r="B79" t="inlineStr">
        <is>
          <t>avverkningsanmälan</t>
        </is>
      </c>
      <c r="C79" t="inlineStr">
        <is>
          <t>Föryngringsavverkning</t>
        </is>
      </c>
      <c r="D79" s="1" t="n">
        <v>45763</v>
      </c>
      <c r="E79" s="1" t="n">
        <v>46294</v>
      </c>
      <c r="F79" t="inlineStr">
        <is>
          <t>STOCKHOLMS LÄN</t>
        </is>
      </c>
      <c r="G79" t="inlineStr">
        <is>
          <t>HANINGE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32486-2026</t>
        </is>
      </c>
      <c r="B80" t="inlineStr">
        <is>
          <t>avverkningsanmälan</t>
        </is>
      </c>
      <c r="C80" t="inlineStr">
        <is>
          <t>Föryngringsavverkning</t>
        </is>
      </c>
      <c r="D80" s="1" t="n">
        <v>46239</v>
      </c>
      <c r="E80" s="1" t="n">
        <v>46294</v>
      </c>
      <c r="F80" t="inlineStr">
        <is>
          <t>STOCKHOLMS LÄN</t>
        </is>
      </c>
      <c r="G80" t="inlineStr">
        <is>
          <t>HANINGE</t>
        </is>
      </c>
      <c r="I80" t="n">
        <v>1</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46294</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2026-09-29T02:01:09Z</dcterms:created>
  <dcterms:modified xmlns:dcterms="http://purl.org/dc/terms/" xmlns:xsi="http://www.w3.org/2001/XMLSchema-instance" xsi:type="dcterms:W3CDTF">2026-09-29T02:01:09Z</dcterms:modified>
</cp:coreProperties>
</file>