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46194</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46194</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46194</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46194</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46194</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46194</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46194</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46194</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46194</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46194</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46194</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46194</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68883-2021</t>
        </is>
      </c>
      <c r="B14" s="1" t="n">
        <v>44526</v>
      </c>
      <c r="C14" s="1" t="n">
        <v>46194</v>
      </c>
      <c r="D14" t="inlineStr">
        <is>
          <t>STOCKHOLMS LÄN</t>
        </is>
      </c>
      <c r="E14" t="inlineStr">
        <is>
          <t>HANINGE</t>
        </is>
      </c>
      <c r="G14" t="n">
        <v>2.5</v>
      </c>
      <c r="H14" t="n">
        <v>2</v>
      </c>
      <c r="I14" t="n">
        <v>0</v>
      </c>
      <c r="J14" t="n">
        <v>3</v>
      </c>
      <c r="K14" t="n">
        <v>1</v>
      </c>
      <c r="L14" t="n">
        <v>0</v>
      </c>
      <c r="M14" t="n">
        <v>0</v>
      </c>
      <c r="N14" t="n">
        <v>0</v>
      </c>
      <c r="O14" t="n">
        <v>4</v>
      </c>
      <c r="P14" t="n">
        <v>1</v>
      </c>
      <c r="Q14" t="n">
        <v>6</v>
      </c>
      <c r="R14" s="2" t="inlineStr">
        <is>
          <t>Kvällsmaskros
Jungfrulin
Slåtterfibbla
Sårläka
Fläcknycklar
Nattviol</t>
        </is>
      </c>
      <c r="S14">
        <f>HYPERLINK("https://klasma.github.io/Logging_0136/artfynd/A 68883-2021 artfynd.xlsx", "A 68883-2021")</f>
        <v/>
      </c>
      <c r="T14">
        <f>HYPERLINK("https://klasma.github.io/Logging_0136/kartor/A 68883-2021 karta.png", "A 68883-2021")</f>
        <v/>
      </c>
      <c r="V14">
        <f>HYPERLINK("https://klasma.github.io/Logging_0136/klagomål/A 68883-2021 FSC-klagomål.docx", "A 68883-2021")</f>
        <v/>
      </c>
      <c r="W14">
        <f>HYPERLINK("https://klasma.github.io/Logging_0136/klagomålsmail/A 68883-2021 FSC-klagomål mail.docx", "A 68883-2021")</f>
        <v/>
      </c>
      <c r="X14">
        <f>HYPERLINK("https://klasma.github.io/Logging_0136/tillsyn/A 68883-2021 tillsynsbegäran.docx", "A 68883-2021")</f>
        <v/>
      </c>
      <c r="Y14">
        <f>HYPERLINK("https://klasma.github.io/Logging_0136/tillsynsmail/A 68883-2021 tillsynsbegäran mail.docx", "A 68883-2021")</f>
        <v/>
      </c>
    </row>
    <row r="15" ht="15" customHeight="1">
      <c r="A15" t="inlineStr">
        <is>
          <t>A 47707-2023</t>
        </is>
      </c>
      <c r="B15" s="1" t="n">
        <v>45203</v>
      </c>
      <c r="C15" s="1" t="n">
        <v>46194</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46194</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46194</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46194</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c r="Z18">
        <f>HYPERLINK("https://klasma.github.io/Logging_0136/fåglar/A 24191-2025 prioriterade fågelarter.docx", "A 24191-2025")</f>
        <v/>
      </c>
    </row>
    <row r="19" ht="15" customHeight="1">
      <c r="A19" t="inlineStr">
        <is>
          <t>A 39651-2021</t>
        </is>
      </c>
      <c r="B19" s="1" t="n">
        <v>44417</v>
      </c>
      <c r="C19" s="1" t="n">
        <v>46194</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46194</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46194</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46194</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6648-2023</t>
        </is>
      </c>
      <c r="B23" s="1" t="n">
        <v>44966</v>
      </c>
      <c r="C23" s="1" t="n">
        <v>46194</v>
      </c>
      <c r="D23" t="inlineStr">
        <is>
          <t>STOCKHOLMS LÄN</t>
        </is>
      </c>
      <c r="E23" t="inlineStr">
        <is>
          <t>HANINGE</t>
        </is>
      </c>
      <c r="G23" t="n">
        <v>4</v>
      </c>
      <c r="H23" t="n">
        <v>1</v>
      </c>
      <c r="I23" t="n">
        <v>0</v>
      </c>
      <c r="J23" t="n">
        <v>1</v>
      </c>
      <c r="K23" t="n">
        <v>0</v>
      </c>
      <c r="L23" t="n">
        <v>0</v>
      </c>
      <c r="M23" t="n">
        <v>0</v>
      </c>
      <c r="N23" t="n">
        <v>0</v>
      </c>
      <c r="O23" t="n">
        <v>1</v>
      </c>
      <c r="P23" t="n">
        <v>0</v>
      </c>
      <c r="Q23" t="n">
        <v>1</v>
      </c>
      <c r="R23" s="2" t="inlineStr">
        <is>
          <t>Nötkråka</t>
        </is>
      </c>
      <c r="S23">
        <f>HYPERLINK("https://klasma.github.io/Logging_0136/artfynd/A 6648-2023 artfynd.xlsx", "A 6648-2023")</f>
        <v/>
      </c>
      <c r="T23">
        <f>HYPERLINK("https://klasma.github.io/Logging_0136/kartor/A 6648-2023 karta.png", "A 6648-2023")</f>
        <v/>
      </c>
      <c r="V23">
        <f>HYPERLINK("https://klasma.github.io/Logging_0136/klagomål/A 6648-2023 FSC-klagomål.docx", "A 6648-2023")</f>
        <v/>
      </c>
      <c r="W23">
        <f>HYPERLINK("https://klasma.github.io/Logging_0136/klagomålsmail/A 6648-2023 FSC-klagomål mail.docx", "A 6648-2023")</f>
        <v/>
      </c>
      <c r="X23">
        <f>HYPERLINK("https://klasma.github.io/Logging_0136/tillsyn/A 6648-2023 tillsynsbegäran.docx", "A 6648-2023")</f>
        <v/>
      </c>
      <c r="Y23">
        <f>HYPERLINK("https://klasma.github.io/Logging_0136/tillsynsmail/A 6648-2023 tillsynsbegäran mail.docx", "A 6648-2023")</f>
        <v/>
      </c>
    </row>
    <row r="24" ht="15" customHeight="1">
      <c r="A24" t="inlineStr">
        <is>
          <t>A 60369-2023</t>
        </is>
      </c>
      <c r="B24" s="1" t="n">
        <v>45259</v>
      </c>
      <c r="C24" s="1" t="n">
        <v>46194</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34823-2022</t>
        </is>
      </c>
      <c r="B25" s="1" t="n">
        <v>44796</v>
      </c>
      <c r="C25" s="1" t="n">
        <v>46194</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59570-2025</t>
        </is>
      </c>
      <c r="B26" s="1" t="n">
        <v>45991</v>
      </c>
      <c r="C26" s="1" t="n">
        <v>46194</v>
      </c>
      <c r="D26" t="inlineStr">
        <is>
          <t>STOCKHOLMS LÄN</t>
        </is>
      </c>
      <c r="E26" t="inlineStr">
        <is>
          <t>HANINGE</t>
        </is>
      </c>
      <c r="G26" t="n">
        <v>2.3</v>
      </c>
      <c r="H26" t="n">
        <v>1</v>
      </c>
      <c r="I26" t="n">
        <v>0</v>
      </c>
      <c r="J26" t="n">
        <v>0</v>
      </c>
      <c r="K26" t="n">
        <v>0</v>
      </c>
      <c r="L26" t="n">
        <v>0</v>
      </c>
      <c r="M26" t="n">
        <v>0</v>
      </c>
      <c r="N26" t="n">
        <v>0</v>
      </c>
      <c r="O26" t="n">
        <v>0</v>
      </c>
      <c r="P26" t="n">
        <v>0</v>
      </c>
      <c r="Q26" t="n">
        <v>1</v>
      </c>
      <c r="R26" s="2" t="inlineStr">
        <is>
          <t>Fjällvråk</t>
        </is>
      </c>
      <c r="S26">
        <f>HYPERLINK("https://klasma.github.io/Logging_0136/artfynd/A 59570-2025 artfynd.xlsx", "A 59570-2025")</f>
        <v/>
      </c>
      <c r="T26">
        <f>HYPERLINK("https://klasma.github.io/Logging_0136/kartor/A 59570-2025 karta.png", "A 59570-2025")</f>
        <v/>
      </c>
      <c r="V26">
        <f>HYPERLINK("https://klasma.github.io/Logging_0136/klagomål/A 59570-2025 FSC-klagomål.docx", "A 59570-2025")</f>
        <v/>
      </c>
      <c r="W26">
        <f>HYPERLINK("https://klasma.github.io/Logging_0136/klagomålsmail/A 59570-2025 FSC-klagomål mail.docx", "A 59570-2025")</f>
        <v/>
      </c>
      <c r="X26">
        <f>HYPERLINK("https://klasma.github.io/Logging_0136/tillsyn/A 59570-2025 tillsynsbegäran.docx", "A 59570-2025")</f>
        <v/>
      </c>
      <c r="Y26">
        <f>HYPERLINK("https://klasma.github.io/Logging_0136/tillsynsmail/A 59570-2025 tillsynsbegäran mail.docx", "A 59570-2025")</f>
        <v/>
      </c>
      <c r="Z26">
        <f>HYPERLINK("https://klasma.github.io/Logging_0136/fåglar/A 59570-2025 prioriterade fågelarter.docx", "A 59570-2025")</f>
        <v/>
      </c>
    </row>
    <row r="27" ht="15" customHeight="1">
      <c r="A27" t="inlineStr">
        <is>
          <t>A 41259-2022</t>
        </is>
      </c>
      <c r="B27" s="1" t="n">
        <v>44825</v>
      </c>
      <c r="C27" s="1" t="n">
        <v>46194</v>
      </c>
      <c r="D27" t="inlineStr">
        <is>
          <t>STOCKHOLMS LÄN</t>
        </is>
      </c>
      <c r="E27" t="inlineStr">
        <is>
          <t>HANINGE</t>
        </is>
      </c>
      <c r="F27" t="inlineStr">
        <is>
          <t>Övriga statliga verk och myndigheter</t>
        </is>
      </c>
      <c r="G27" t="n">
        <v>2.9</v>
      </c>
      <c r="H27" t="n">
        <v>0</v>
      </c>
      <c r="I27" t="n">
        <v>0</v>
      </c>
      <c r="J27" t="n">
        <v>0</v>
      </c>
      <c r="K27" t="n">
        <v>0</v>
      </c>
      <c r="L27" t="n">
        <v>0</v>
      </c>
      <c r="M27" t="n">
        <v>0</v>
      </c>
      <c r="N27" t="n">
        <v>0</v>
      </c>
      <c r="O27" t="n">
        <v>0</v>
      </c>
      <c r="P27" t="n">
        <v>0</v>
      </c>
      <c r="Q27" t="n">
        <v>0</v>
      </c>
      <c r="R27" s="2" t="inlineStr"/>
    </row>
    <row r="28" ht="15" customHeight="1">
      <c r="A28" t="inlineStr">
        <is>
          <t>A 41263-2022</t>
        </is>
      </c>
      <c r="B28" s="1" t="n">
        <v>44825</v>
      </c>
      <c r="C28" s="1" t="n">
        <v>46194</v>
      </c>
      <c r="D28" t="inlineStr">
        <is>
          <t>STOCKHOLMS LÄN</t>
        </is>
      </c>
      <c r="E28" t="inlineStr">
        <is>
          <t>HANINGE</t>
        </is>
      </c>
      <c r="F28" t="inlineStr">
        <is>
          <t>Övriga statliga verk och myndigheter</t>
        </is>
      </c>
      <c r="G28" t="n">
        <v>1.9</v>
      </c>
      <c r="H28" t="n">
        <v>0</v>
      </c>
      <c r="I28" t="n">
        <v>0</v>
      </c>
      <c r="J28" t="n">
        <v>0</v>
      </c>
      <c r="K28" t="n">
        <v>0</v>
      </c>
      <c r="L28" t="n">
        <v>0</v>
      </c>
      <c r="M28" t="n">
        <v>0</v>
      </c>
      <c r="N28" t="n">
        <v>0</v>
      </c>
      <c r="O28" t="n">
        <v>0</v>
      </c>
      <c r="P28" t="n">
        <v>0</v>
      </c>
      <c r="Q28" t="n">
        <v>0</v>
      </c>
      <c r="R28" s="2" t="inlineStr"/>
    </row>
    <row r="29" ht="15" customHeight="1">
      <c r="A29" t="inlineStr">
        <is>
          <t>A 50903-2021</t>
        </is>
      </c>
      <c r="B29" s="1" t="n">
        <v>44460</v>
      </c>
      <c r="C29" s="1" t="n">
        <v>46194</v>
      </c>
      <c r="D29" t="inlineStr">
        <is>
          <t>STOCKHOLMS LÄN</t>
        </is>
      </c>
      <c r="E29" t="inlineStr">
        <is>
          <t>HANINGE</t>
        </is>
      </c>
      <c r="G29" t="n">
        <v>1.5</v>
      </c>
      <c r="H29" t="n">
        <v>0</v>
      </c>
      <c r="I29" t="n">
        <v>0</v>
      </c>
      <c r="J29" t="n">
        <v>0</v>
      </c>
      <c r="K29" t="n">
        <v>0</v>
      </c>
      <c r="L29" t="n">
        <v>0</v>
      </c>
      <c r="M29" t="n">
        <v>0</v>
      </c>
      <c r="N29" t="n">
        <v>0</v>
      </c>
      <c r="O29" t="n">
        <v>0</v>
      </c>
      <c r="P29" t="n">
        <v>0</v>
      </c>
      <c r="Q29" t="n">
        <v>0</v>
      </c>
      <c r="R29" s="2" t="inlineStr"/>
    </row>
    <row r="30" ht="15" customHeight="1">
      <c r="A30" t="inlineStr">
        <is>
          <t>A 45501-2022</t>
        </is>
      </c>
      <c r="B30" s="1" t="n">
        <v>44845</v>
      </c>
      <c r="C30" s="1" t="n">
        <v>46194</v>
      </c>
      <c r="D30" t="inlineStr">
        <is>
          <t>STOCKHOLMS LÄN</t>
        </is>
      </c>
      <c r="E30" t="inlineStr">
        <is>
          <t>HANINGE</t>
        </is>
      </c>
      <c r="G30" t="n">
        <v>2.7</v>
      </c>
      <c r="H30" t="n">
        <v>0</v>
      </c>
      <c r="I30" t="n">
        <v>0</v>
      </c>
      <c r="J30" t="n">
        <v>0</v>
      </c>
      <c r="K30" t="n">
        <v>0</v>
      </c>
      <c r="L30" t="n">
        <v>0</v>
      </c>
      <c r="M30" t="n">
        <v>0</v>
      </c>
      <c r="N30" t="n">
        <v>0</v>
      </c>
      <c r="O30" t="n">
        <v>0</v>
      </c>
      <c r="P30" t="n">
        <v>0</v>
      </c>
      <c r="Q30" t="n">
        <v>0</v>
      </c>
      <c r="R30" s="2" t="inlineStr"/>
    </row>
    <row r="31" ht="15" customHeight="1">
      <c r="A31" t="inlineStr">
        <is>
          <t>A 45498-2022</t>
        </is>
      </c>
      <c r="B31" s="1" t="n">
        <v>44845</v>
      </c>
      <c r="C31" s="1" t="n">
        <v>46194</v>
      </c>
      <c r="D31" t="inlineStr">
        <is>
          <t>STOCKHOLMS LÄN</t>
        </is>
      </c>
      <c r="E31" t="inlineStr">
        <is>
          <t>HANINGE</t>
        </is>
      </c>
      <c r="G31" t="n">
        <v>2.1</v>
      </c>
      <c r="H31" t="n">
        <v>0</v>
      </c>
      <c r="I31" t="n">
        <v>0</v>
      </c>
      <c r="J31" t="n">
        <v>0</v>
      </c>
      <c r="K31" t="n">
        <v>0</v>
      </c>
      <c r="L31" t="n">
        <v>0</v>
      </c>
      <c r="M31" t="n">
        <v>0</v>
      </c>
      <c r="N31" t="n">
        <v>0</v>
      </c>
      <c r="O31" t="n">
        <v>0</v>
      </c>
      <c r="P31" t="n">
        <v>0</v>
      </c>
      <c r="Q31" t="n">
        <v>0</v>
      </c>
      <c r="R31" s="2" t="inlineStr"/>
    </row>
    <row r="32" ht="15" customHeight="1">
      <c r="A32" t="inlineStr">
        <is>
          <t>A 55853-2021</t>
        </is>
      </c>
      <c r="B32" s="1" t="n">
        <v>44476</v>
      </c>
      <c r="C32" s="1" t="n">
        <v>46194</v>
      </c>
      <c r="D32" t="inlineStr">
        <is>
          <t>STOCKHOLMS LÄN</t>
        </is>
      </c>
      <c r="E32" t="inlineStr">
        <is>
          <t>HANINGE</t>
        </is>
      </c>
      <c r="F32" t="inlineStr">
        <is>
          <t>Kommuner</t>
        </is>
      </c>
      <c r="G32" t="n">
        <v>1.3</v>
      </c>
      <c r="H32" t="n">
        <v>0</v>
      </c>
      <c r="I32" t="n">
        <v>0</v>
      </c>
      <c r="J32" t="n">
        <v>0</v>
      </c>
      <c r="K32" t="n">
        <v>0</v>
      </c>
      <c r="L32" t="n">
        <v>0</v>
      </c>
      <c r="M32" t="n">
        <v>0</v>
      </c>
      <c r="N32" t="n">
        <v>0</v>
      </c>
      <c r="O32" t="n">
        <v>0</v>
      </c>
      <c r="P32" t="n">
        <v>0</v>
      </c>
      <c r="Q32" t="n">
        <v>0</v>
      </c>
      <c r="R32" s="2" t="inlineStr"/>
    </row>
    <row r="33" ht="15" customHeight="1">
      <c r="A33" t="inlineStr">
        <is>
          <t>A 19652-2022</t>
        </is>
      </c>
      <c r="B33" s="1" t="n">
        <v>44694</v>
      </c>
      <c r="C33" s="1" t="n">
        <v>46194</v>
      </c>
      <c r="D33" t="inlineStr">
        <is>
          <t>STOCKHOLMS LÄN</t>
        </is>
      </c>
      <c r="E33" t="inlineStr">
        <is>
          <t>HANINGE</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46194</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43709-2021</t>
        </is>
      </c>
      <c r="B35" s="1" t="n">
        <v>44433</v>
      </c>
      <c r="C35" s="1" t="n">
        <v>46194</v>
      </c>
      <c r="D35" t="inlineStr">
        <is>
          <t>STOCKHOLMS LÄN</t>
        </is>
      </c>
      <c r="E35" t="inlineStr">
        <is>
          <t>HANINGE</t>
        </is>
      </c>
      <c r="G35" t="n">
        <v>4</v>
      </c>
      <c r="H35" t="n">
        <v>0</v>
      </c>
      <c r="I35" t="n">
        <v>0</v>
      </c>
      <c r="J35" t="n">
        <v>0</v>
      </c>
      <c r="K35" t="n">
        <v>0</v>
      </c>
      <c r="L35" t="n">
        <v>0</v>
      </c>
      <c r="M35" t="n">
        <v>0</v>
      </c>
      <c r="N35" t="n">
        <v>0</v>
      </c>
      <c r="O35" t="n">
        <v>0</v>
      </c>
      <c r="P35" t="n">
        <v>0</v>
      </c>
      <c r="Q35" t="n">
        <v>0</v>
      </c>
      <c r="R35" s="2" t="inlineStr"/>
    </row>
    <row r="36" ht="15" customHeight="1">
      <c r="A36" t="inlineStr">
        <is>
          <t>A 55861-2021</t>
        </is>
      </c>
      <c r="B36" s="1" t="n">
        <v>44476</v>
      </c>
      <c r="C36" s="1" t="n">
        <v>46194</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41266-2022</t>
        </is>
      </c>
      <c r="B37" s="1" t="n">
        <v>44825</v>
      </c>
      <c r="C37" s="1" t="n">
        <v>46194</v>
      </c>
      <c r="D37" t="inlineStr">
        <is>
          <t>STOCKHOLMS LÄN</t>
        </is>
      </c>
      <c r="E37" t="inlineStr">
        <is>
          <t>HANINGE</t>
        </is>
      </c>
      <c r="F37" t="inlineStr">
        <is>
          <t>Övriga statliga verk och myndigheter</t>
        </is>
      </c>
      <c r="G37" t="n">
        <v>1.6</v>
      </c>
      <c r="H37" t="n">
        <v>0</v>
      </c>
      <c r="I37" t="n">
        <v>0</v>
      </c>
      <c r="J37" t="n">
        <v>0</v>
      </c>
      <c r="K37" t="n">
        <v>0</v>
      </c>
      <c r="L37" t="n">
        <v>0</v>
      </c>
      <c r="M37" t="n">
        <v>0</v>
      </c>
      <c r="N37" t="n">
        <v>0</v>
      </c>
      <c r="O37" t="n">
        <v>0</v>
      </c>
      <c r="P37" t="n">
        <v>0</v>
      </c>
      <c r="Q37" t="n">
        <v>0</v>
      </c>
      <c r="R37" s="2" t="inlineStr"/>
    </row>
    <row r="38" ht="15" customHeight="1">
      <c r="A38" t="inlineStr">
        <is>
          <t>A 13135-2022</t>
        </is>
      </c>
      <c r="B38" s="1" t="n">
        <v>44643</v>
      </c>
      <c r="C38" s="1" t="n">
        <v>46194</v>
      </c>
      <c r="D38" t="inlineStr">
        <is>
          <t>STOCKHOLMS LÄN</t>
        </is>
      </c>
      <c r="E38" t="inlineStr">
        <is>
          <t>HANINGE</t>
        </is>
      </c>
      <c r="G38" t="n">
        <v>2</v>
      </c>
      <c r="H38" t="n">
        <v>0</v>
      </c>
      <c r="I38" t="n">
        <v>0</v>
      </c>
      <c r="J38" t="n">
        <v>0</v>
      </c>
      <c r="K38" t="n">
        <v>0</v>
      </c>
      <c r="L38" t="n">
        <v>0</v>
      </c>
      <c r="M38" t="n">
        <v>0</v>
      </c>
      <c r="N38" t="n">
        <v>0</v>
      </c>
      <c r="O38" t="n">
        <v>0</v>
      </c>
      <c r="P38" t="n">
        <v>0</v>
      </c>
      <c r="Q38" t="n">
        <v>0</v>
      </c>
      <c r="R38" s="2" t="inlineStr"/>
    </row>
    <row r="39" ht="15" customHeight="1">
      <c r="A39" t="inlineStr">
        <is>
          <t>A 30419-2022</t>
        </is>
      </c>
      <c r="B39" s="1" t="n">
        <v>44761</v>
      </c>
      <c r="C39" s="1" t="n">
        <v>46194</v>
      </c>
      <c r="D39" t="inlineStr">
        <is>
          <t>STOCKHOLMS LÄN</t>
        </is>
      </c>
      <c r="E39" t="inlineStr">
        <is>
          <t>HANINGE</t>
        </is>
      </c>
      <c r="G39" t="n">
        <v>7.4</v>
      </c>
      <c r="H39" t="n">
        <v>0</v>
      </c>
      <c r="I39" t="n">
        <v>0</v>
      </c>
      <c r="J39" t="n">
        <v>0</v>
      </c>
      <c r="K39" t="n">
        <v>0</v>
      </c>
      <c r="L39" t="n">
        <v>0</v>
      </c>
      <c r="M39" t="n">
        <v>0</v>
      </c>
      <c r="N39" t="n">
        <v>0</v>
      </c>
      <c r="O39" t="n">
        <v>0</v>
      </c>
      <c r="P39" t="n">
        <v>0</v>
      </c>
      <c r="Q39" t="n">
        <v>0</v>
      </c>
      <c r="R39" s="2" t="inlineStr"/>
    </row>
    <row r="40" ht="15" customHeight="1">
      <c r="A40" t="inlineStr">
        <is>
          <t>A 68896-2021</t>
        </is>
      </c>
      <c r="B40" s="1" t="n">
        <v>44526</v>
      </c>
      <c r="C40" s="1" t="n">
        <v>46194</v>
      </c>
      <c r="D40" t="inlineStr">
        <is>
          <t>STOCKHOLMS LÄN</t>
        </is>
      </c>
      <c r="E40" t="inlineStr">
        <is>
          <t>HANINGE</t>
        </is>
      </c>
      <c r="G40" t="n">
        <v>3.4</v>
      </c>
      <c r="H40" t="n">
        <v>0</v>
      </c>
      <c r="I40" t="n">
        <v>0</v>
      </c>
      <c r="J40" t="n">
        <v>0</v>
      </c>
      <c r="K40" t="n">
        <v>0</v>
      </c>
      <c r="L40" t="n">
        <v>0</v>
      </c>
      <c r="M40" t="n">
        <v>0</v>
      </c>
      <c r="N40" t="n">
        <v>0</v>
      </c>
      <c r="O40" t="n">
        <v>0</v>
      </c>
      <c r="P40" t="n">
        <v>0</v>
      </c>
      <c r="Q40" t="n">
        <v>0</v>
      </c>
      <c r="R40" s="2" t="inlineStr"/>
    </row>
    <row r="41" ht="15" customHeight="1">
      <c r="A41" t="inlineStr">
        <is>
          <t>A 68894-2021</t>
        </is>
      </c>
      <c r="B41" s="1" t="n">
        <v>44526</v>
      </c>
      <c r="C41" s="1" t="n">
        <v>46194</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46194</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13046-2022</t>
        </is>
      </c>
      <c r="B43" s="1" t="n">
        <v>44643</v>
      </c>
      <c r="C43" s="1" t="n">
        <v>46194</v>
      </c>
      <c r="D43" t="inlineStr">
        <is>
          <t>STOCKHOLMS LÄN</t>
        </is>
      </c>
      <c r="E43" t="inlineStr">
        <is>
          <t>HANINGE</t>
        </is>
      </c>
      <c r="G43" t="n">
        <v>2.3</v>
      </c>
      <c r="H43" t="n">
        <v>0</v>
      </c>
      <c r="I43" t="n">
        <v>0</v>
      </c>
      <c r="J43" t="n">
        <v>0</v>
      </c>
      <c r="K43" t="n">
        <v>0</v>
      </c>
      <c r="L43" t="n">
        <v>0</v>
      </c>
      <c r="M43" t="n">
        <v>0</v>
      </c>
      <c r="N43" t="n">
        <v>0</v>
      </c>
      <c r="O43" t="n">
        <v>0</v>
      </c>
      <c r="P43" t="n">
        <v>0</v>
      </c>
      <c r="Q43" t="n">
        <v>0</v>
      </c>
      <c r="R43" s="2" t="inlineStr"/>
    </row>
    <row r="44" ht="15" customHeight="1">
      <c r="A44" t="inlineStr">
        <is>
          <t>A 3156-2025</t>
        </is>
      </c>
      <c r="B44" s="1" t="n">
        <v>45679</v>
      </c>
      <c r="C44" s="1" t="n">
        <v>46194</v>
      </c>
      <c r="D44" t="inlineStr">
        <is>
          <t>STOCKHOLMS LÄN</t>
        </is>
      </c>
      <c r="E44" t="inlineStr">
        <is>
          <t>HANINGE</t>
        </is>
      </c>
      <c r="G44" t="n">
        <v>3.3</v>
      </c>
      <c r="H44" t="n">
        <v>0</v>
      </c>
      <c r="I44" t="n">
        <v>0</v>
      </c>
      <c r="J44" t="n">
        <v>0</v>
      </c>
      <c r="K44" t="n">
        <v>0</v>
      </c>
      <c r="L44" t="n">
        <v>0</v>
      </c>
      <c r="M44" t="n">
        <v>0</v>
      </c>
      <c r="N44" t="n">
        <v>0</v>
      </c>
      <c r="O44" t="n">
        <v>0</v>
      </c>
      <c r="P44" t="n">
        <v>0</v>
      </c>
      <c r="Q44" t="n">
        <v>0</v>
      </c>
      <c r="R44" s="2" t="inlineStr"/>
    </row>
    <row r="45" ht="15" customHeight="1">
      <c r="A45" t="inlineStr">
        <is>
          <t>A 8078-2024</t>
        </is>
      </c>
      <c r="B45" s="1" t="n">
        <v>45351</v>
      </c>
      <c r="C45" s="1" t="n">
        <v>46194</v>
      </c>
      <c r="D45" t="inlineStr">
        <is>
          <t>STOCKHOLMS LÄN</t>
        </is>
      </c>
      <c r="E45" t="inlineStr">
        <is>
          <t>HANINGE</t>
        </is>
      </c>
      <c r="F45" t="inlineStr">
        <is>
          <t>Kommuner</t>
        </is>
      </c>
      <c r="G45" t="n">
        <v>1.4</v>
      </c>
      <c r="H45" t="n">
        <v>0</v>
      </c>
      <c r="I45" t="n">
        <v>0</v>
      </c>
      <c r="J45" t="n">
        <v>0</v>
      </c>
      <c r="K45" t="n">
        <v>0</v>
      </c>
      <c r="L45" t="n">
        <v>0</v>
      </c>
      <c r="M45" t="n">
        <v>0</v>
      </c>
      <c r="N45" t="n">
        <v>0</v>
      </c>
      <c r="O45" t="n">
        <v>0</v>
      </c>
      <c r="P45" t="n">
        <v>0</v>
      </c>
      <c r="Q45" t="n">
        <v>0</v>
      </c>
      <c r="R45" s="2" t="inlineStr"/>
    </row>
    <row r="46" ht="15" customHeight="1">
      <c r="A46" t="inlineStr">
        <is>
          <t>A 24873-2023</t>
        </is>
      </c>
      <c r="B46" s="1" t="n">
        <v>45085</v>
      </c>
      <c r="C46" s="1" t="n">
        <v>46194</v>
      </c>
      <c r="D46" t="inlineStr">
        <is>
          <t>STOCKHOLMS LÄN</t>
        </is>
      </c>
      <c r="E46" t="inlineStr">
        <is>
          <t>HANINGE</t>
        </is>
      </c>
      <c r="G46" t="n">
        <v>1.9</v>
      </c>
      <c r="H46" t="n">
        <v>0</v>
      </c>
      <c r="I46" t="n">
        <v>0</v>
      </c>
      <c r="J46" t="n">
        <v>0</v>
      </c>
      <c r="K46" t="n">
        <v>0</v>
      </c>
      <c r="L46" t="n">
        <v>0</v>
      </c>
      <c r="M46" t="n">
        <v>0</v>
      </c>
      <c r="N46" t="n">
        <v>0</v>
      </c>
      <c r="O46" t="n">
        <v>0</v>
      </c>
      <c r="P46" t="n">
        <v>0</v>
      </c>
      <c r="Q46" t="n">
        <v>0</v>
      </c>
      <c r="R46" s="2" t="inlineStr"/>
    </row>
    <row r="47" ht="15" customHeight="1">
      <c r="A47" t="inlineStr">
        <is>
          <t>A 23666-2024</t>
        </is>
      </c>
      <c r="B47" s="1" t="n">
        <v>45454</v>
      </c>
      <c r="C47" s="1" t="n">
        <v>46194</v>
      </c>
      <c r="D47" t="inlineStr">
        <is>
          <t>STOCKHOLMS LÄN</t>
        </is>
      </c>
      <c r="E47" t="inlineStr">
        <is>
          <t>HANINGE</t>
        </is>
      </c>
      <c r="G47" t="n">
        <v>0.8</v>
      </c>
      <c r="H47" t="n">
        <v>0</v>
      </c>
      <c r="I47" t="n">
        <v>0</v>
      </c>
      <c r="J47" t="n">
        <v>0</v>
      </c>
      <c r="K47" t="n">
        <v>0</v>
      </c>
      <c r="L47" t="n">
        <v>0</v>
      </c>
      <c r="M47" t="n">
        <v>0</v>
      </c>
      <c r="N47" t="n">
        <v>0</v>
      </c>
      <c r="O47" t="n">
        <v>0</v>
      </c>
      <c r="P47" t="n">
        <v>0</v>
      </c>
      <c r="Q47" t="n">
        <v>0</v>
      </c>
      <c r="R47" s="2" t="inlineStr"/>
    </row>
    <row r="48" ht="15" customHeight="1">
      <c r="A48" t="inlineStr">
        <is>
          <t>A 9946-2024</t>
        </is>
      </c>
      <c r="B48" s="1" t="n">
        <v>45363</v>
      </c>
      <c r="C48" s="1" t="n">
        <v>46194</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58599-2023</t>
        </is>
      </c>
      <c r="B49" s="1" t="n">
        <v>45251</v>
      </c>
      <c r="C49" s="1" t="n">
        <v>46194</v>
      </c>
      <c r="D49" t="inlineStr">
        <is>
          <t>STOCKHOLMS LÄN</t>
        </is>
      </c>
      <c r="E49" t="inlineStr">
        <is>
          <t>HANINGE</t>
        </is>
      </c>
      <c r="G49" t="n">
        <v>3.2</v>
      </c>
      <c r="H49" t="n">
        <v>0</v>
      </c>
      <c r="I49" t="n">
        <v>0</v>
      </c>
      <c r="J49" t="n">
        <v>0</v>
      </c>
      <c r="K49" t="n">
        <v>0</v>
      </c>
      <c r="L49" t="n">
        <v>0</v>
      </c>
      <c r="M49" t="n">
        <v>0</v>
      </c>
      <c r="N49" t="n">
        <v>0</v>
      </c>
      <c r="O49" t="n">
        <v>0</v>
      </c>
      <c r="P49" t="n">
        <v>0</v>
      </c>
      <c r="Q49" t="n">
        <v>0</v>
      </c>
      <c r="R49" s="2" t="inlineStr"/>
    </row>
    <row r="50" ht="15" customHeight="1">
      <c r="A50" t="inlineStr">
        <is>
          <t>A 18491-2025</t>
        </is>
      </c>
      <c r="B50" s="1" t="n">
        <v>45763</v>
      </c>
      <c r="C50" s="1" t="n">
        <v>46194</v>
      </c>
      <c r="D50" t="inlineStr">
        <is>
          <t>STOCKHOLMS LÄN</t>
        </is>
      </c>
      <c r="E50" t="inlineStr">
        <is>
          <t>HANINGE</t>
        </is>
      </c>
      <c r="G50" t="n">
        <v>0.5</v>
      </c>
      <c r="H50" t="n">
        <v>0</v>
      </c>
      <c r="I50" t="n">
        <v>0</v>
      </c>
      <c r="J50" t="n">
        <v>0</v>
      </c>
      <c r="K50" t="n">
        <v>0</v>
      </c>
      <c r="L50" t="n">
        <v>0</v>
      </c>
      <c r="M50" t="n">
        <v>0</v>
      </c>
      <c r="N50" t="n">
        <v>0</v>
      </c>
      <c r="O50" t="n">
        <v>0</v>
      </c>
      <c r="P50" t="n">
        <v>0</v>
      </c>
      <c r="Q50" t="n">
        <v>0</v>
      </c>
      <c r="R50" s="2" t="inlineStr"/>
    </row>
    <row r="51" ht="15" customHeight="1">
      <c r="A51" t="inlineStr">
        <is>
          <t>A 18528-2024</t>
        </is>
      </c>
      <c r="B51" s="1" t="n">
        <v>45425</v>
      </c>
      <c r="C51" s="1" t="n">
        <v>46194</v>
      </c>
      <c r="D51" t="inlineStr">
        <is>
          <t>STOCKHOLMS LÄN</t>
        </is>
      </c>
      <c r="E51" t="inlineStr">
        <is>
          <t>HANINGE</t>
        </is>
      </c>
      <c r="F51" t="inlineStr">
        <is>
          <t>Kommuner</t>
        </is>
      </c>
      <c r="G51" t="n">
        <v>0.5</v>
      </c>
      <c r="H51" t="n">
        <v>0</v>
      </c>
      <c r="I51" t="n">
        <v>0</v>
      </c>
      <c r="J51" t="n">
        <v>0</v>
      </c>
      <c r="K51" t="n">
        <v>0</v>
      </c>
      <c r="L51" t="n">
        <v>0</v>
      </c>
      <c r="M51" t="n">
        <v>0</v>
      </c>
      <c r="N51" t="n">
        <v>0</v>
      </c>
      <c r="O51" t="n">
        <v>0</v>
      </c>
      <c r="P51" t="n">
        <v>0</v>
      </c>
      <c r="Q51" t="n">
        <v>0</v>
      </c>
      <c r="R51" s="2" t="inlineStr"/>
    </row>
    <row r="52" ht="15" customHeight="1">
      <c r="A52" t="inlineStr">
        <is>
          <t>A 52836-2024</t>
        </is>
      </c>
      <c r="B52" s="1" t="n">
        <v>45610</v>
      </c>
      <c r="C52" s="1" t="n">
        <v>46194</v>
      </c>
      <c r="D52" t="inlineStr">
        <is>
          <t>STOCKHOLMS LÄN</t>
        </is>
      </c>
      <c r="E52" t="inlineStr">
        <is>
          <t>HANINGE</t>
        </is>
      </c>
      <c r="G52" t="n">
        <v>1</v>
      </c>
      <c r="H52" t="n">
        <v>0</v>
      </c>
      <c r="I52" t="n">
        <v>0</v>
      </c>
      <c r="J52" t="n">
        <v>0</v>
      </c>
      <c r="K52" t="n">
        <v>0</v>
      </c>
      <c r="L52" t="n">
        <v>0</v>
      </c>
      <c r="M52" t="n">
        <v>0</v>
      </c>
      <c r="N52" t="n">
        <v>0</v>
      </c>
      <c r="O52" t="n">
        <v>0</v>
      </c>
      <c r="P52" t="n">
        <v>0</v>
      </c>
      <c r="Q52" t="n">
        <v>0</v>
      </c>
      <c r="R52" s="2" t="inlineStr"/>
    </row>
    <row r="53" ht="15" customHeight="1">
      <c r="A53" t="inlineStr">
        <is>
          <t>A 32948-2025</t>
        </is>
      </c>
      <c r="B53" s="1" t="n">
        <v>45839</v>
      </c>
      <c r="C53" s="1" t="n">
        <v>46194</v>
      </c>
      <c r="D53" t="inlineStr">
        <is>
          <t>STOCKHOLMS LÄN</t>
        </is>
      </c>
      <c r="E53" t="inlineStr">
        <is>
          <t>HANINGE</t>
        </is>
      </c>
      <c r="G53" t="n">
        <v>1.1</v>
      </c>
      <c r="H53" t="n">
        <v>0</v>
      </c>
      <c r="I53" t="n">
        <v>0</v>
      </c>
      <c r="J53" t="n">
        <v>0</v>
      </c>
      <c r="K53" t="n">
        <v>0</v>
      </c>
      <c r="L53" t="n">
        <v>0</v>
      </c>
      <c r="M53" t="n">
        <v>0</v>
      </c>
      <c r="N53" t="n">
        <v>0</v>
      </c>
      <c r="O53" t="n">
        <v>0</v>
      </c>
      <c r="P53" t="n">
        <v>0</v>
      </c>
      <c r="Q53" t="n">
        <v>0</v>
      </c>
      <c r="R53" s="2" t="inlineStr"/>
    </row>
    <row r="54" ht="15" customHeight="1">
      <c r="A54" t="inlineStr">
        <is>
          <t>A 5474-2024</t>
        </is>
      </c>
      <c r="B54" s="1" t="n">
        <v>45333</v>
      </c>
      <c r="C54" s="1" t="n">
        <v>46194</v>
      </c>
      <c r="D54" t="inlineStr">
        <is>
          <t>STOCKHOLMS LÄN</t>
        </is>
      </c>
      <c r="E54" t="inlineStr">
        <is>
          <t>HANINGE</t>
        </is>
      </c>
      <c r="F54" t="inlineStr">
        <is>
          <t>Kommuner</t>
        </is>
      </c>
      <c r="G54" t="n">
        <v>0.9</v>
      </c>
      <c r="H54" t="n">
        <v>0</v>
      </c>
      <c r="I54" t="n">
        <v>0</v>
      </c>
      <c r="J54" t="n">
        <v>0</v>
      </c>
      <c r="K54" t="n">
        <v>0</v>
      </c>
      <c r="L54" t="n">
        <v>0</v>
      </c>
      <c r="M54" t="n">
        <v>0</v>
      </c>
      <c r="N54" t="n">
        <v>0</v>
      </c>
      <c r="O54" t="n">
        <v>0</v>
      </c>
      <c r="P54" t="n">
        <v>0</v>
      </c>
      <c r="Q54" t="n">
        <v>0</v>
      </c>
      <c r="R54" s="2" t="inlineStr"/>
    </row>
    <row r="55" ht="15" customHeight="1">
      <c r="A55" t="inlineStr">
        <is>
          <t>A 14900-2025</t>
        </is>
      </c>
      <c r="B55" s="1" t="n">
        <v>45743</v>
      </c>
      <c r="C55" s="1" t="n">
        <v>46194</v>
      </c>
      <c r="D55" t="inlineStr">
        <is>
          <t>STOCKHOLMS LÄN</t>
        </is>
      </c>
      <c r="E55" t="inlineStr">
        <is>
          <t>HANINGE</t>
        </is>
      </c>
      <c r="G55" t="n">
        <v>4.5</v>
      </c>
      <c r="H55" t="n">
        <v>0</v>
      </c>
      <c r="I55" t="n">
        <v>0</v>
      </c>
      <c r="J55" t="n">
        <v>0</v>
      </c>
      <c r="K55" t="n">
        <v>0</v>
      </c>
      <c r="L55" t="n">
        <v>0</v>
      </c>
      <c r="M55" t="n">
        <v>0</v>
      </c>
      <c r="N55" t="n">
        <v>0</v>
      </c>
      <c r="O55" t="n">
        <v>0</v>
      </c>
      <c r="P55" t="n">
        <v>0</v>
      </c>
      <c r="Q55" t="n">
        <v>0</v>
      </c>
      <c r="R55" s="2" t="inlineStr"/>
    </row>
    <row r="56" ht="15" customHeight="1">
      <c r="A56" t="inlineStr">
        <is>
          <t>A 38595-2021</t>
        </is>
      </c>
      <c r="B56" s="1" t="n">
        <v>44407</v>
      </c>
      <c r="C56" s="1" t="n">
        <v>46194</v>
      </c>
      <c r="D56" t="inlineStr">
        <is>
          <t>STOCKHOLMS LÄN</t>
        </is>
      </c>
      <c r="E56" t="inlineStr">
        <is>
          <t>HANINGE</t>
        </is>
      </c>
      <c r="G56" t="n">
        <v>1.1</v>
      </c>
      <c r="H56" t="n">
        <v>0</v>
      </c>
      <c r="I56" t="n">
        <v>0</v>
      </c>
      <c r="J56" t="n">
        <v>0</v>
      </c>
      <c r="K56" t="n">
        <v>0</v>
      </c>
      <c r="L56" t="n">
        <v>0</v>
      </c>
      <c r="M56" t="n">
        <v>0</v>
      </c>
      <c r="N56" t="n">
        <v>0</v>
      </c>
      <c r="O56" t="n">
        <v>0</v>
      </c>
      <c r="P56" t="n">
        <v>0</v>
      </c>
      <c r="Q56" t="n">
        <v>0</v>
      </c>
      <c r="R56" s="2" t="inlineStr"/>
    </row>
    <row r="57" ht="15" customHeight="1">
      <c r="A57" t="inlineStr">
        <is>
          <t>A 50306-2023</t>
        </is>
      </c>
      <c r="B57" s="1" t="n">
        <v>45209</v>
      </c>
      <c r="C57" s="1" t="n">
        <v>46194</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c r="U57">
        <f>HYPERLINK("https://klasma.github.io/Logging_0136/knärot/A 50306-2023 karta knärot.png", "A 50306-2023")</f>
        <v/>
      </c>
      <c r="V57">
        <f>HYPERLINK("https://klasma.github.io/Logging_0136/klagomål/A 50306-2023 FSC-klagomål.docx", "A 50306-2023")</f>
        <v/>
      </c>
      <c r="W57">
        <f>HYPERLINK("https://klasma.github.io/Logging_0136/klagomålsmail/A 50306-2023 FSC-klagomål mail.docx", "A 50306-2023")</f>
        <v/>
      </c>
      <c r="X57">
        <f>HYPERLINK("https://klasma.github.io/Logging_0136/tillsyn/A 50306-2023 tillsynsbegäran.docx", "A 50306-2023")</f>
        <v/>
      </c>
      <c r="Y57">
        <f>HYPERLINK("https://klasma.github.io/Logging_0136/tillsynsmail/A 50306-2023 tillsynsbegäran mail.docx", "A 50306-2023")</f>
        <v/>
      </c>
    </row>
    <row r="58" ht="15" customHeight="1">
      <c r="A58" t="inlineStr">
        <is>
          <t>A 22288-2023</t>
        </is>
      </c>
      <c r="B58" s="1" t="n">
        <v>45070</v>
      </c>
      <c r="C58" s="1" t="n">
        <v>46194</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33792-2023</t>
        </is>
      </c>
      <c r="B59" s="1" t="n">
        <v>45121</v>
      </c>
      <c r="C59" s="1" t="n">
        <v>46194</v>
      </c>
      <c r="D59" t="inlineStr">
        <is>
          <t>STOCKHOLMS LÄN</t>
        </is>
      </c>
      <c r="E59" t="inlineStr">
        <is>
          <t>HANINGE</t>
        </is>
      </c>
      <c r="G59" t="n">
        <v>1.4</v>
      </c>
      <c r="H59" t="n">
        <v>0</v>
      </c>
      <c r="I59" t="n">
        <v>0</v>
      </c>
      <c r="J59" t="n">
        <v>0</v>
      </c>
      <c r="K59" t="n">
        <v>0</v>
      </c>
      <c r="L59" t="n">
        <v>0</v>
      </c>
      <c r="M59" t="n">
        <v>0</v>
      </c>
      <c r="N59" t="n">
        <v>0</v>
      </c>
      <c r="O59" t="n">
        <v>0</v>
      </c>
      <c r="P59" t="n">
        <v>0</v>
      </c>
      <c r="Q59" t="n">
        <v>0</v>
      </c>
      <c r="R59" s="2" t="inlineStr"/>
    </row>
    <row r="60" ht="15" customHeight="1">
      <c r="A60" t="inlineStr">
        <is>
          <t>A 20839-2024</t>
        </is>
      </c>
      <c r="B60" s="1" t="n">
        <v>45439</v>
      </c>
      <c r="C60" s="1" t="n">
        <v>46194</v>
      </c>
      <c r="D60" t="inlineStr">
        <is>
          <t>STOCKHOLMS LÄN</t>
        </is>
      </c>
      <c r="E60" t="inlineStr">
        <is>
          <t>HANINGE</t>
        </is>
      </c>
      <c r="G60" t="n">
        <v>8.4</v>
      </c>
      <c r="H60" t="n">
        <v>0</v>
      </c>
      <c r="I60" t="n">
        <v>0</v>
      </c>
      <c r="J60" t="n">
        <v>0</v>
      </c>
      <c r="K60" t="n">
        <v>0</v>
      </c>
      <c r="L60" t="n">
        <v>0</v>
      </c>
      <c r="M60" t="n">
        <v>0</v>
      </c>
      <c r="N60" t="n">
        <v>0</v>
      </c>
      <c r="O60" t="n">
        <v>0</v>
      </c>
      <c r="P60" t="n">
        <v>0</v>
      </c>
      <c r="Q60" t="n">
        <v>0</v>
      </c>
      <c r="R60" s="2" t="inlineStr"/>
    </row>
    <row r="61" ht="15" customHeight="1">
      <c r="A61" t="inlineStr">
        <is>
          <t>A 24193-2025</t>
        </is>
      </c>
      <c r="B61" s="1" t="n">
        <v>45796</v>
      </c>
      <c r="C61" s="1" t="n">
        <v>46194</v>
      </c>
      <c r="D61" t="inlineStr">
        <is>
          <t>STOCKHOLMS LÄN</t>
        </is>
      </c>
      <c r="E61" t="inlineStr">
        <is>
          <t>HANINGE</t>
        </is>
      </c>
      <c r="G61" t="n">
        <v>0.4</v>
      </c>
      <c r="H61" t="n">
        <v>0</v>
      </c>
      <c r="I61" t="n">
        <v>0</v>
      </c>
      <c r="J61" t="n">
        <v>0</v>
      </c>
      <c r="K61" t="n">
        <v>0</v>
      </c>
      <c r="L61" t="n">
        <v>0</v>
      </c>
      <c r="M61" t="n">
        <v>0</v>
      </c>
      <c r="N61" t="n">
        <v>0</v>
      </c>
      <c r="O61" t="n">
        <v>0</v>
      </c>
      <c r="P61" t="n">
        <v>0</v>
      </c>
      <c r="Q61" t="n">
        <v>0</v>
      </c>
      <c r="R61" s="2" t="inlineStr"/>
    </row>
    <row r="62" ht="15" customHeight="1">
      <c r="A62" t="inlineStr">
        <is>
          <t>A 64075-2023</t>
        </is>
      </c>
      <c r="B62" s="1" t="n">
        <v>45279</v>
      </c>
      <c r="C62" s="1" t="n">
        <v>46194</v>
      </c>
      <c r="D62" t="inlineStr">
        <is>
          <t>STOCKHOLMS LÄN</t>
        </is>
      </c>
      <c r="E62" t="inlineStr">
        <is>
          <t>HANINGE</t>
        </is>
      </c>
      <c r="G62" t="n">
        <v>2.6</v>
      </c>
      <c r="H62" t="n">
        <v>0</v>
      </c>
      <c r="I62" t="n">
        <v>0</v>
      </c>
      <c r="J62" t="n">
        <v>0</v>
      </c>
      <c r="K62" t="n">
        <v>0</v>
      </c>
      <c r="L62" t="n">
        <v>0</v>
      </c>
      <c r="M62" t="n">
        <v>0</v>
      </c>
      <c r="N62" t="n">
        <v>0</v>
      </c>
      <c r="O62" t="n">
        <v>0</v>
      </c>
      <c r="P62" t="n">
        <v>0</v>
      </c>
      <c r="Q62" t="n">
        <v>0</v>
      </c>
      <c r="R62" s="2" t="inlineStr"/>
    </row>
    <row r="63" ht="15" customHeight="1">
      <c r="A63" t="inlineStr">
        <is>
          <t>A 52770-2024</t>
        </is>
      </c>
      <c r="B63" s="1" t="n">
        <v>45610</v>
      </c>
      <c r="C63" s="1" t="n">
        <v>46194</v>
      </c>
      <c r="D63" t="inlineStr">
        <is>
          <t>STOCKHOLMS LÄN</t>
        </is>
      </c>
      <c r="E63" t="inlineStr">
        <is>
          <t>HANINGE</t>
        </is>
      </c>
      <c r="G63" t="n">
        <v>2.3</v>
      </c>
      <c r="H63" t="n">
        <v>0</v>
      </c>
      <c r="I63" t="n">
        <v>0</v>
      </c>
      <c r="J63" t="n">
        <v>0</v>
      </c>
      <c r="K63" t="n">
        <v>0</v>
      </c>
      <c r="L63" t="n">
        <v>0</v>
      </c>
      <c r="M63" t="n">
        <v>0</v>
      </c>
      <c r="N63" t="n">
        <v>0</v>
      </c>
      <c r="O63" t="n">
        <v>0</v>
      </c>
      <c r="P63" t="n">
        <v>0</v>
      </c>
      <c r="Q63" t="n">
        <v>0</v>
      </c>
      <c r="R63" s="2" t="inlineStr"/>
    </row>
    <row r="64" ht="15" customHeight="1">
      <c r="A64" t="inlineStr">
        <is>
          <t>A 27596-2025</t>
        </is>
      </c>
      <c r="B64" s="1" t="n">
        <v>45813</v>
      </c>
      <c r="C64" s="1" t="n">
        <v>46194</v>
      </c>
      <c r="D64" t="inlineStr">
        <is>
          <t>STOCKHOLMS LÄN</t>
        </is>
      </c>
      <c r="E64" t="inlineStr">
        <is>
          <t>HANINGE</t>
        </is>
      </c>
      <c r="G64" t="n">
        <v>0.1</v>
      </c>
      <c r="H64" t="n">
        <v>0</v>
      </c>
      <c r="I64" t="n">
        <v>0</v>
      </c>
      <c r="J64" t="n">
        <v>0</v>
      </c>
      <c r="K64" t="n">
        <v>0</v>
      </c>
      <c r="L64" t="n">
        <v>0</v>
      </c>
      <c r="M64" t="n">
        <v>0</v>
      </c>
      <c r="N64" t="n">
        <v>0</v>
      </c>
      <c r="O64" t="n">
        <v>0</v>
      </c>
      <c r="P64" t="n">
        <v>0</v>
      </c>
      <c r="Q64" t="n">
        <v>0</v>
      </c>
      <c r="R64" s="2" t="inlineStr"/>
    </row>
    <row r="65" ht="15" customHeight="1">
      <c r="A65" t="inlineStr">
        <is>
          <t>A 18512-2024</t>
        </is>
      </c>
      <c r="B65" s="1" t="n">
        <v>45425</v>
      </c>
      <c r="C65" s="1" t="n">
        <v>46194</v>
      </c>
      <c r="D65" t="inlineStr">
        <is>
          <t>STOCKHOLMS LÄN</t>
        </is>
      </c>
      <c r="E65" t="inlineStr">
        <is>
          <t>HANINGE</t>
        </is>
      </c>
      <c r="F65" t="inlineStr">
        <is>
          <t>Kommuner</t>
        </is>
      </c>
      <c r="G65" t="n">
        <v>0.7</v>
      </c>
      <c r="H65" t="n">
        <v>0</v>
      </c>
      <c r="I65" t="n">
        <v>0</v>
      </c>
      <c r="J65" t="n">
        <v>0</v>
      </c>
      <c r="K65" t="n">
        <v>0</v>
      </c>
      <c r="L65" t="n">
        <v>0</v>
      </c>
      <c r="M65" t="n">
        <v>0</v>
      </c>
      <c r="N65" t="n">
        <v>0</v>
      </c>
      <c r="O65" t="n">
        <v>0</v>
      </c>
      <c r="P65" t="n">
        <v>0</v>
      </c>
      <c r="Q65" t="n">
        <v>0</v>
      </c>
      <c r="R65" s="2" t="inlineStr"/>
    </row>
    <row r="66" ht="15" customHeight="1">
      <c r="A66" t="inlineStr">
        <is>
          <t>A 26886-2026</t>
        </is>
      </c>
      <c r="B66" s="1" t="n">
        <v>46185</v>
      </c>
      <c r="C66" s="1" t="n">
        <v>46194</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4297-2024</t>
        </is>
      </c>
      <c r="B67" s="1" t="n">
        <v>45324</v>
      </c>
      <c r="C67" s="1" t="n">
        <v>46194</v>
      </c>
      <c r="D67" t="inlineStr">
        <is>
          <t>STOCKHOLMS LÄN</t>
        </is>
      </c>
      <c r="E67" t="inlineStr">
        <is>
          <t>HANINGE</t>
        </is>
      </c>
      <c r="F67" t="inlineStr">
        <is>
          <t>Kommuner</t>
        </is>
      </c>
      <c r="G67" t="n">
        <v>0.4</v>
      </c>
      <c r="H67" t="n">
        <v>0</v>
      </c>
      <c r="I67" t="n">
        <v>0</v>
      </c>
      <c r="J67" t="n">
        <v>0</v>
      </c>
      <c r="K67" t="n">
        <v>0</v>
      </c>
      <c r="L67" t="n">
        <v>0</v>
      </c>
      <c r="M67" t="n">
        <v>0</v>
      </c>
      <c r="N67" t="n">
        <v>0</v>
      </c>
      <c r="O67" t="n">
        <v>0</v>
      </c>
      <c r="P67" t="n">
        <v>0</v>
      </c>
      <c r="Q67" t="n">
        <v>0</v>
      </c>
      <c r="R67" s="2" t="inlineStr"/>
    </row>
    <row r="68" ht="15" customHeight="1">
      <c r="A68" t="inlineStr">
        <is>
          <t>A 17765-2024</t>
        </is>
      </c>
      <c r="B68" s="1" t="n">
        <v>45418</v>
      </c>
      <c r="C68" s="1" t="n">
        <v>46194</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59569-2025</t>
        </is>
      </c>
      <c r="B69" s="1" t="n">
        <v>45991</v>
      </c>
      <c r="C69" s="1" t="n">
        <v>46194</v>
      </c>
      <c r="D69" t="inlineStr">
        <is>
          <t>STOCKHOLMS LÄN</t>
        </is>
      </c>
      <c r="E69" t="inlineStr">
        <is>
          <t>HANINGE</t>
        </is>
      </c>
      <c r="G69" t="n">
        <v>1.3</v>
      </c>
      <c r="H69" t="n">
        <v>0</v>
      </c>
      <c r="I69" t="n">
        <v>0</v>
      </c>
      <c r="J69" t="n">
        <v>0</v>
      </c>
      <c r="K69" t="n">
        <v>0</v>
      </c>
      <c r="L69" t="n">
        <v>0</v>
      </c>
      <c r="M69" t="n">
        <v>0</v>
      </c>
      <c r="N69" t="n">
        <v>0</v>
      </c>
      <c r="O69" t="n">
        <v>0</v>
      </c>
      <c r="P69" t="n">
        <v>0</v>
      </c>
      <c r="Q69" t="n">
        <v>0</v>
      </c>
      <c r="R69" s="2" t="inlineStr"/>
    </row>
    <row r="70" ht="15" customHeight="1">
      <c r="A70" t="inlineStr">
        <is>
          <t>A 14264-2025</t>
        </is>
      </c>
      <c r="B70" s="1" t="n">
        <v>45740</v>
      </c>
      <c r="C70" s="1" t="n">
        <v>46194</v>
      </c>
      <c r="D70" t="inlineStr">
        <is>
          <t>STOCKHOLMS LÄN</t>
        </is>
      </c>
      <c r="E70" t="inlineStr">
        <is>
          <t>HANINGE</t>
        </is>
      </c>
      <c r="G70" t="n">
        <v>1</v>
      </c>
      <c r="H70" t="n">
        <v>0</v>
      </c>
      <c r="I70" t="n">
        <v>0</v>
      </c>
      <c r="J70" t="n">
        <v>0</v>
      </c>
      <c r="K70" t="n">
        <v>0</v>
      </c>
      <c r="L70" t="n">
        <v>0</v>
      </c>
      <c r="M70" t="n">
        <v>0</v>
      </c>
      <c r="N70" t="n">
        <v>0</v>
      </c>
      <c r="O70" t="n">
        <v>0</v>
      </c>
      <c r="P70" t="n">
        <v>0</v>
      </c>
      <c r="Q70" t="n">
        <v>0</v>
      </c>
      <c r="R70" s="2" t="inlineStr"/>
    </row>
    <row r="71" ht="15" customHeight="1">
      <c r="A71" t="inlineStr">
        <is>
          <t>A 26417-2026</t>
        </is>
      </c>
      <c r="B71" s="1" t="n">
        <v>46183</v>
      </c>
      <c r="C71" s="1" t="n">
        <v>46194</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25584-2023</t>
        </is>
      </c>
      <c r="B72" s="1" t="n">
        <v>45089</v>
      </c>
      <c r="C72" s="1" t="n">
        <v>46194</v>
      </c>
      <c r="D72" t="inlineStr">
        <is>
          <t>STOCKHOLMS LÄN</t>
        </is>
      </c>
      <c r="E72" t="inlineStr">
        <is>
          <t>HANINGE</t>
        </is>
      </c>
      <c r="G72" t="n">
        <v>4.8</v>
      </c>
      <c r="H72" t="n">
        <v>0</v>
      </c>
      <c r="I72" t="n">
        <v>0</v>
      </c>
      <c r="J72" t="n">
        <v>0</v>
      </c>
      <c r="K72" t="n">
        <v>0</v>
      </c>
      <c r="L72" t="n">
        <v>0</v>
      </c>
      <c r="M72" t="n">
        <v>0</v>
      </c>
      <c r="N72" t="n">
        <v>0</v>
      </c>
      <c r="O72" t="n">
        <v>0</v>
      </c>
      <c r="P72" t="n">
        <v>0</v>
      </c>
      <c r="Q72" t="n">
        <v>0</v>
      </c>
      <c r="R72" s="2" t="inlineStr"/>
    </row>
    <row r="73" ht="15" customHeight="1">
      <c r="A73" t="inlineStr">
        <is>
          <t>A 20527-2025</t>
        </is>
      </c>
      <c r="B73" s="1" t="n">
        <v>45775</v>
      </c>
      <c r="C73" s="1" t="n">
        <v>46194</v>
      </c>
      <c r="D73" t="inlineStr">
        <is>
          <t>STOCKHOLMS LÄN</t>
        </is>
      </c>
      <c r="E73" t="inlineStr">
        <is>
          <t>HANINGE</t>
        </is>
      </c>
      <c r="G73" t="n">
        <v>2.1</v>
      </c>
      <c r="H73" t="n">
        <v>0</v>
      </c>
      <c r="I73" t="n">
        <v>0</v>
      </c>
      <c r="J73" t="n">
        <v>0</v>
      </c>
      <c r="K73" t="n">
        <v>0</v>
      </c>
      <c r="L73" t="n">
        <v>0</v>
      </c>
      <c r="M73" t="n">
        <v>0</v>
      </c>
      <c r="N73" t="n">
        <v>0</v>
      </c>
      <c r="O73" t="n">
        <v>0</v>
      </c>
      <c r="P73" t="n">
        <v>0</v>
      </c>
      <c r="Q73" t="n">
        <v>0</v>
      </c>
      <c r="R73" s="2" t="inlineStr"/>
    </row>
    <row r="74" ht="15" customHeight="1">
      <c r="A74" t="inlineStr">
        <is>
          <t>A 1180-2024</t>
        </is>
      </c>
      <c r="B74" s="1" t="n">
        <v>45302</v>
      </c>
      <c r="C74" s="1" t="n">
        <v>46194</v>
      </c>
      <c r="D74" t="inlineStr">
        <is>
          <t>STOCKHOLMS LÄN</t>
        </is>
      </c>
      <c r="E74" t="inlineStr">
        <is>
          <t>HANINGE</t>
        </is>
      </c>
      <c r="G74" t="n">
        <v>2</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46194</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46194</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64568-2023</t>
        </is>
      </c>
      <c r="B77" s="1" t="n">
        <v>45281</v>
      </c>
      <c r="C77" s="1" t="n">
        <v>46194</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18548-2024</t>
        </is>
      </c>
      <c r="B78" s="1" t="n">
        <v>45425</v>
      </c>
      <c r="C78" s="1" t="n">
        <v>46194</v>
      </c>
      <c r="D78" t="inlineStr">
        <is>
          <t>STOCKHOLMS LÄN</t>
        </is>
      </c>
      <c r="E78" t="inlineStr">
        <is>
          <t>HANINGE</t>
        </is>
      </c>
      <c r="F78" t="inlineStr">
        <is>
          <t>Kommuner</t>
        </is>
      </c>
      <c r="G78" t="n">
        <v>7.3</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46194</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12787-2026</t>
        </is>
      </c>
      <c r="B80" s="1" t="n">
        <v>46091</v>
      </c>
      <c r="C80" s="1" t="n">
        <v>46194</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12782-2026</t>
        </is>
      </c>
      <c r="B81" s="1" t="n">
        <v>46091</v>
      </c>
      <c r="C81" s="1" t="n">
        <v>46194</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24800-2026</t>
        </is>
      </c>
      <c r="B82" s="1" t="n">
        <v>46171</v>
      </c>
      <c r="C82" s="1" t="n">
        <v>46194</v>
      </c>
      <c r="D82" t="inlineStr">
        <is>
          <t>STOCKHOLMS LÄN</t>
        </is>
      </c>
      <c r="E82" t="inlineStr">
        <is>
          <t>HANINGE</t>
        </is>
      </c>
      <c r="G82" t="n">
        <v>0.4</v>
      </c>
      <c r="H82" t="n">
        <v>0</v>
      </c>
      <c r="I82" t="n">
        <v>0</v>
      </c>
      <c r="J82" t="n">
        <v>0</v>
      </c>
      <c r="K82" t="n">
        <v>0</v>
      </c>
      <c r="L82" t="n">
        <v>0</v>
      </c>
      <c r="M82" t="n">
        <v>0</v>
      </c>
      <c r="N82" t="n">
        <v>0</v>
      </c>
      <c r="O82" t="n">
        <v>0</v>
      </c>
      <c r="P82" t="n">
        <v>0</v>
      </c>
      <c r="Q82" t="n">
        <v>0</v>
      </c>
      <c r="R82" s="2" t="inlineStr"/>
    </row>
    <row r="83" ht="15" customHeight="1">
      <c r="A83" t="inlineStr">
        <is>
          <t>A 24801-2026</t>
        </is>
      </c>
      <c r="B83" s="1" t="n">
        <v>46171</v>
      </c>
      <c r="C83" s="1" t="n">
        <v>46194</v>
      </c>
      <c r="D83" t="inlineStr">
        <is>
          <t>STOCKHOLMS LÄN</t>
        </is>
      </c>
      <c r="E83" t="inlineStr">
        <is>
          <t>HANINGE</t>
        </is>
      </c>
      <c r="G83" t="n">
        <v>7.1</v>
      </c>
      <c r="H83" t="n">
        <v>0</v>
      </c>
      <c r="I83" t="n">
        <v>0</v>
      </c>
      <c r="J83" t="n">
        <v>0</v>
      </c>
      <c r="K83" t="n">
        <v>0</v>
      </c>
      <c r="L83" t="n">
        <v>0</v>
      </c>
      <c r="M83" t="n">
        <v>0</v>
      </c>
      <c r="N83" t="n">
        <v>0</v>
      </c>
      <c r="O83" t="n">
        <v>0</v>
      </c>
      <c r="P83" t="n">
        <v>0</v>
      </c>
      <c r="Q83" t="n">
        <v>0</v>
      </c>
      <c r="R83" s="2" t="inlineStr"/>
    </row>
    <row r="84">
      <c r="A84" t="inlineStr">
        <is>
          <t>A 48606-2025</t>
        </is>
      </c>
      <c r="B84" s="1" t="n">
        <v>45936</v>
      </c>
      <c r="C84" s="1" t="n">
        <v>46194</v>
      </c>
      <c r="D84" t="inlineStr">
        <is>
          <t>STOCKHOLMS LÄN</t>
        </is>
      </c>
      <c r="E84" t="inlineStr">
        <is>
          <t>HANINGE</t>
        </is>
      </c>
      <c r="G84" t="n">
        <v>6.9</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2026-06-21T00:45:14Z</dcterms:created>
  <dcterms:modified xmlns:dcterms="http://purl.org/dc/terms/" xmlns:xsi="http://www.w3.org/2001/XMLSchema-instance" xsi:type="dcterms:W3CDTF">2026-06-21T00:45:14Z</dcterms:modified>
</cp:coreProperties>
</file>