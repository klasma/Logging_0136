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45684</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45684</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45684</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45684</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45684</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45684</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45684</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45684</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45684</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45684</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45684</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57469-2020</t>
        </is>
      </c>
      <c r="B18" s="1" t="n">
        <v>44139</v>
      </c>
      <c r="C18" s="1" t="n">
        <v>45684</v>
      </c>
      <c r="D18" t="inlineStr">
        <is>
          <t>STOCKHOLMS LÄN</t>
        </is>
      </c>
      <c r="E18" t="inlineStr">
        <is>
          <t>HANINGE</t>
        </is>
      </c>
      <c r="G18" t="n">
        <v>12.8</v>
      </c>
      <c r="H18" t="n">
        <v>1</v>
      </c>
      <c r="I18" t="n">
        <v>6</v>
      </c>
      <c r="J18" t="n">
        <v>0</v>
      </c>
      <c r="K18" t="n">
        <v>0</v>
      </c>
      <c r="L18" t="n">
        <v>0</v>
      </c>
      <c r="M18" t="n">
        <v>0</v>
      </c>
      <c r="N18" t="n">
        <v>0</v>
      </c>
      <c r="O18" t="n">
        <v>0</v>
      </c>
      <c r="P18" t="n">
        <v>0</v>
      </c>
      <c r="Q18" t="n">
        <v>6</v>
      </c>
      <c r="R18" s="2" t="inlineStr">
        <is>
          <t>Bronshjon
Grön sköldmossa
Skogshakmossa
Stubbspretmossa
Vedticka
Vågbandad barkbock</t>
        </is>
      </c>
      <c r="S18">
        <f>HYPERLINK("https://klasma.github.io/Logging_0136/artfynd/A 57469-2020 artfynd.xlsx", "A 57469-2020")</f>
        <v/>
      </c>
      <c r="T18">
        <f>HYPERLINK("https://klasma.github.io/Logging_0136/kartor/A 57469-2020 karta.png", "A 57469-2020")</f>
        <v/>
      </c>
      <c r="V18">
        <f>HYPERLINK("https://klasma.github.io/Logging_0136/klagomål/A 57469-2020 FSC-klagomål.docx", "A 57469-2020")</f>
        <v/>
      </c>
      <c r="W18">
        <f>HYPERLINK("https://klasma.github.io/Logging_0136/klagomålsmail/A 57469-2020 FSC-klagomål mail.docx", "A 57469-2020")</f>
        <v/>
      </c>
      <c r="X18">
        <f>HYPERLINK("https://klasma.github.io/Logging_0136/tillsyn/A 57469-2020 tillsynsbegäran.docx", "A 57469-2020")</f>
        <v/>
      </c>
      <c r="Y18">
        <f>HYPERLINK("https://klasma.github.io/Logging_0136/tillsynsmail/A 57469-2020 tillsynsbegäran mail.docx", "A 57469-2020")</f>
        <v/>
      </c>
    </row>
    <row r="19" ht="15" customHeight="1">
      <c r="A19" t="inlineStr">
        <is>
          <t>A 52616-2021</t>
        </is>
      </c>
      <c r="B19" s="1" t="n">
        <v>44463</v>
      </c>
      <c r="C19" s="1" t="n">
        <v>45684</v>
      </c>
      <c r="D19" t="inlineStr">
        <is>
          <t>STOCKHOLMS LÄN</t>
        </is>
      </c>
      <c r="E19" t="inlineStr">
        <is>
          <t>HANINGE</t>
        </is>
      </c>
      <c r="G19" t="n">
        <v>6.4</v>
      </c>
      <c r="H19" t="n">
        <v>2</v>
      </c>
      <c r="I19" t="n">
        <v>5</v>
      </c>
      <c r="J19" t="n">
        <v>0</v>
      </c>
      <c r="K19" t="n">
        <v>0</v>
      </c>
      <c r="L19" t="n">
        <v>0</v>
      </c>
      <c r="M19" t="n">
        <v>0</v>
      </c>
      <c r="N19" t="n">
        <v>0</v>
      </c>
      <c r="O19" t="n">
        <v>0</v>
      </c>
      <c r="P19" t="n">
        <v>0</v>
      </c>
      <c r="Q19" t="n">
        <v>6</v>
      </c>
      <c r="R19" s="2" t="inlineStr">
        <is>
          <t>Björksplintborre
Grön sköldmossa
Noshornsoxe
Stubbspretmossa
Vågbandad barkbock
Vanlig groda</t>
        </is>
      </c>
      <c r="S19">
        <f>HYPERLINK("https://klasma.github.io/Logging_0136/artfynd/A 52616-2021 artfynd.xlsx", "A 52616-2021")</f>
        <v/>
      </c>
      <c r="T19">
        <f>HYPERLINK("https://klasma.github.io/Logging_0136/kartor/A 52616-2021 karta.png", "A 52616-2021")</f>
        <v/>
      </c>
      <c r="V19">
        <f>HYPERLINK("https://klasma.github.io/Logging_0136/klagomål/A 52616-2021 FSC-klagomål.docx", "A 52616-2021")</f>
        <v/>
      </c>
      <c r="W19">
        <f>HYPERLINK("https://klasma.github.io/Logging_0136/klagomålsmail/A 52616-2021 FSC-klagomål mail.docx", "A 52616-2021")</f>
        <v/>
      </c>
      <c r="X19">
        <f>HYPERLINK("https://klasma.github.io/Logging_0136/tillsyn/A 52616-2021 tillsynsbegäran.docx", "A 52616-2021")</f>
        <v/>
      </c>
      <c r="Y19">
        <f>HYPERLINK("https://klasma.github.io/Logging_0136/tillsynsmail/A 52616-2021 tillsynsbegäran mail.docx", "A 52616-2021")</f>
        <v/>
      </c>
    </row>
    <row r="20" ht="15" customHeight="1">
      <c r="A20" t="inlineStr">
        <is>
          <t>A 47702-2023</t>
        </is>
      </c>
      <c r="B20" s="1" t="n">
        <v>45203</v>
      </c>
      <c r="C20" s="1" t="n">
        <v>45684</v>
      </c>
      <c r="D20" t="inlineStr">
        <is>
          <t>STOCKHOLMS LÄN</t>
        </is>
      </c>
      <c r="E20" t="inlineStr">
        <is>
          <t>HANINGE</t>
        </is>
      </c>
      <c r="G20" t="n">
        <v>2</v>
      </c>
      <c r="H20" t="n">
        <v>1</v>
      </c>
      <c r="I20" t="n">
        <v>5</v>
      </c>
      <c r="J20" t="n">
        <v>0</v>
      </c>
      <c r="K20" t="n">
        <v>0</v>
      </c>
      <c r="L20" t="n">
        <v>0</v>
      </c>
      <c r="M20" t="n">
        <v>0</v>
      </c>
      <c r="N20" t="n">
        <v>0</v>
      </c>
      <c r="O20" t="n">
        <v>0</v>
      </c>
      <c r="P20" t="n">
        <v>0</v>
      </c>
      <c r="Q20" t="n">
        <v>6</v>
      </c>
      <c r="R20" s="2" t="inlineStr">
        <is>
          <t>Rävticka
Stubbspretmossa
Trubbfjädermossa
Vedticka
Vågbandad barkbock
Blåsippa</t>
        </is>
      </c>
      <c r="S20">
        <f>HYPERLINK("https://klasma.github.io/Logging_0136/artfynd/A 47702-2023 artfynd.xlsx", "A 47702-2023")</f>
        <v/>
      </c>
      <c r="T20">
        <f>HYPERLINK("https://klasma.github.io/Logging_0136/kartor/A 47702-2023 karta.png", "A 47702-2023")</f>
        <v/>
      </c>
      <c r="V20">
        <f>HYPERLINK("https://klasma.github.io/Logging_0136/klagomål/A 47702-2023 FSC-klagomål.docx", "A 47702-2023")</f>
        <v/>
      </c>
      <c r="W20">
        <f>HYPERLINK("https://klasma.github.io/Logging_0136/klagomålsmail/A 47702-2023 FSC-klagomål mail.docx", "A 47702-2023")</f>
        <v/>
      </c>
      <c r="X20">
        <f>HYPERLINK("https://klasma.github.io/Logging_0136/tillsyn/A 47702-2023 tillsynsbegäran.docx", "A 47702-2023")</f>
        <v/>
      </c>
      <c r="Y20">
        <f>HYPERLINK("https://klasma.github.io/Logging_0136/tillsynsmail/A 47702-2023 tillsynsbegäran mail.docx", "A 47702-2023")</f>
        <v/>
      </c>
    </row>
    <row r="21" ht="15" customHeight="1">
      <c r="A21" t="inlineStr">
        <is>
          <t>A 2215-2025</t>
        </is>
      </c>
      <c r="B21" s="1" t="n">
        <v>45672</v>
      </c>
      <c r="C21" s="1" t="n">
        <v>45684</v>
      </c>
      <c r="D21" t="inlineStr">
        <is>
          <t>STOCKHOLMS LÄN</t>
        </is>
      </c>
      <c r="E21" t="inlineStr">
        <is>
          <t>HANINGE</t>
        </is>
      </c>
      <c r="G21" t="n">
        <v>2.3</v>
      </c>
      <c r="H21" t="n">
        <v>2</v>
      </c>
      <c r="I21" t="n">
        <v>2</v>
      </c>
      <c r="J21" t="n">
        <v>2</v>
      </c>
      <c r="K21" t="n">
        <v>1</v>
      </c>
      <c r="L21" t="n">
        <v>0</v>
      </c>
      <c r="M21" t="n">
        <v>0</v>
      </c>
      <c r="N21" t="n">
        <v>0</v>
      </c>
      <c r="O21" t="n">
        <v>3</v>
      </c>
      <c r="P21" t="n">
        <v>1</v>
      </c>
      <c r="Q21" t="n">
        <v>6</v>
      </c>
      <c r="R21" s="2" t="inlineStr">
        <is>
          <t>Knärot
Grönhjon
Tallticka
Granbarkgnagare
Sårläka
Revlummer</t>
        </is>
      </c>
      <c r="S21">
        <f>HYPERLINK("https://klasma.github.io/Logging_0136/artfynd/A 2215-2025 artfynd.xlsx", "A 2215-2025")</f>
        <v/>
      </c>
      <c r="T21">
        <f>HYPERLINK("https://klasma.github.io/Logging_0136/kartor/A 2215-2025 karta.png", "A 2215-2025")</f>
        <v/>
      </c>
      <c r="U21">
        <f>HYPERLINK("https://klasma.github.io/Logging_0136/knärot/A 2215-2025 karta knärot.png", "A 2215-2025")</f>
        <v/>
      </c>
      <c r="V21">
        <f>HYPERLINK("https://klasma.github.io/Logging_0136/klagomål/A 2215-2025 FSC-klagomål.docx", "A 2215-2025")</f>
        <v/>
      </c>
      <c r="W21">
        <f>HYPERLINK("https://klasma.github.io/Logging_0136/klagomålsmail/A 2215-2025 FSC-klagomål mail.docx", "A 2215-2025")</f>
        <v/>
      </c>
      <c r="X21">
        <f>HYPERLINK("https://klasma.github.io/Logging_0136/tillsyn/A 2215-2025 tillsynsbegäran.docx", "A 2215-2025")</f>
        <v/>
      </c>
      <c r="Y21">
        <f>HYPERLINK("https://klasma.github.io/Logging_0136/tillsynsmail/A 2215-2025 tillsynsbegäran mail.docx", "A 2215-2025")</f>
        <v/>
      </c>
    </row>
    <row r="22" ht="15" customHeight="1">
      <c r="A22" t="inlineStr">
        <is>
          <t>A 32532-2020</t>
        </is>
      </c>
      <c r="B22" s="1" t="n">
        <v>44018</v>
      </c>
      <c r="C22" s="1" t="n">
        <v>45684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45684</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45684</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45684</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45684</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45684</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45684</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45684</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45684</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45684</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45684</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45684</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45684</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45684</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45684</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45684</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45684</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45684</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45684</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45684</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45684</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45684</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45684</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45684</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45684</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45684</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45684</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45684</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45684</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45684</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45684</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45684</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45684</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45684</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45684</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45684</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45684</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45684</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45684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45684</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45684</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45684</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45684</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45684</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45684</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45684</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45684</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45684</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45684</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45684</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45684</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45684</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45684</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45684</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45684</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45684</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45684</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45684</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45684</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45684</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45684</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45684</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45684</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45684</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45684</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45684</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45684</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45684</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45684</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45684</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45684</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45684</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45684</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45684</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45684</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45684</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45684</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45684</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45684</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45684</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45684</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45684</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45684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45684</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45684</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45684</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45684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45684</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45684</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45684</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45684</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45684</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45684</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45684</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45684</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45684</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45684</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45684</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45684</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45684</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45684</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45684</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45684</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45684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45684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45684</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45684</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45684</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45684</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45684</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45684</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45684</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45684</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45684</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45684</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45684</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45684</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45684</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45684</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45684</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45684</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45684</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45684</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45684</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45684</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2025-01-27T16:26:05Z</dcterms:created>
  <dcterms:modified xmlns:dcterms="http://purl.org/dc/terms/" xmlns:xsi="http://www.w3.org/2001/XMLSchema-instance" xsi:type="dcterms:W3CDTF">2025-01-27T16:26:05Z</dcterms:modified>
</cp:coreProperties>
</file>