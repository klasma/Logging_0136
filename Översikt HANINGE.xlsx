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46307</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46307</v>
      </c>
      <c r="F3" t="inlineStr">
        <is>
          <t>STOCKHOLMS LÄN</t>
        </is>
      </c>
      <c r="G3" t="inlineStr">
        <is>
          <t>HANINGE</t>
        </is>
      </c>
      <c r="I3" t="n">
        <v>19.9</v>
      </c>
      <c r="J3" t="n">
        <v>23</v>
      </c>
      <c r="K3" t="n">
        <v>21</v>
      </c>
      <c r="L3" t="n">
        <v>19</v>
      </c>
      <c r="M3" t="n">
        <v>8</v>
      </c>
      <c r="N3" t="n">
        <v>0</v>
      </c>
      <c r="O3" t="n">
        <v>0</v>
      </c>
      <c r="P3" t="n">
        <v>0</v>
      </c>
      <c r="Q3" t="n">
        <v>27</v>
      </c>
      <c r="R3" t="n">
        <v>8</v>
      </c>
      <c r="S3" t="n">
        <v>65</v>
      </c>
      <c r="T3" t="n">
        <v>295</v>
      </c>
      <c r="U3" t="n">
        <v>160</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46307</v>
      </c>
      <c r="F4" t="inlineStr">
        <is>
          <t>STOCKHOLMS LÄN</t>
        </is>
      </c>
      <c r="G4" t="inlineStr">
        <is>
          <t>HANINGE</t>
        </is>
      </c>
      <c r="I4" t="n">
        <v>19.8</v>
      </c>
      <c r="J4" t="n">
        <v>22</v>
      </c>
      <c r="K4" t="n">
        <v>21</v>
      </c>
      <c r="L4" t="n">
        <v>18</v>
      </c>
      <c r="M4" t="n">
        <v>7</v>
      </c>
      <c r="N4" t="n">
        <v>0</v>
      </c>
      <c r="O4" t="n">
        <v>0</v>
      </c>
      <c r="P4" t="n">
        <v>0</v>
      </c>
      <c r="Q4" t="n">
        <v>25</v>
      </c>
      <c r="R4" t="n">
        <v>7</v>
      </c>
      <c r="S4" t="n">
        <v>59</v>
      </c>
      <c r="T4" t="n">
        <v>289</v>
      </c>
      <c r="U4" t="n">
        <v>198</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46307</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46307</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46307</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46307</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46307</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46307</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46307</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46307</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46307</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46307</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46307</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46307</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21231-2025</t>
        </is>
      </c>
      <c r="B17" t="inlineStr">
        <is>
          <t>avverkningsanmälan</t>
        </is>
      </c>
      <c r="C17" t="inlineStr">
        <is>
          <t>Föryngringsavverkning</t>
        </is>
      </c>
      <c r="D17" s="1" t="n">
        <v>45779</v>
      </c>
      <c r="E17" s="1" t="n">
        <v>46307</v>
      </c>
      <c r="F17" t="inlineStr">
        <is>
          <t>STOCKHOLMS LÄN</t>
        </is>
      </c>
      <c r="G17" t="inlineStr">
        <is>
          <t>HANINGE</t>
        </is>
      </c>
      <c r="I17" t="n">
        <v>4.3</v>
      </c>
      <c r="J17" t="n">
        <v>2</v>
      </c>
      <c r="K17" t="n">
        <v>0</v>
      </c>
      <c r="L17" t="n">
        <v>1</v>
      </c>
      <c r="M17" t="n">
        <v>0</v>
      </c>
      <c r="N17" t="n">
        <v>0</v>
      </c>
      <c r="O17" t="n">
        <v>0</v>
      </c>
      <c r="P17" t="n">
        <v>0</v>
      </c>
      <c r="Q17" t="n">
        <v>1</v>
      </c>
      <c r="R17" t="n">
        <v>0</v>
      </c>
      <c r="S17" t="n">
        <v>3</v>
      </c>
      <c r="T17" t="n">
        <v>3</v>
      </c>
      <c r="U17" t="n">
        <v>1</v>
      </c>
      <c r="V17" s="2" t="inlineStr">
        <is>
          <t>Gullpudra
Spillkråka
Trana</t>
        </is>
      </c>
      <c r="W17">
        <f>HYPERLINK("https://klasma.github.io/Logging_0136/artfynd/A 21231-2025 artfynd.xlsx", "A 21231-2025")</f>
        <v/>
      </c>
      <c r="X17">
        <f>HYPERLINK("https://klasma.github.io/Logging_0136/kartor/A 21231-2025 karta.png", "A 21231-2025")</f>
        <v/>
      </c>
      <c r="Y17">
        <f>HYPERLINK("https://klasma.github.io/Logging_0136/kartor_geotiff/A 21231-2025 georefererad karta.tif", "A 21231-2025")</f>
        <v/>
      </c>
      <c r="AA17">
        <f>HYPERLINK("https://klasma.github.io/Logging_0136/klagomål/A 21231-2025 FSC-klagomål.docx", "A 21231-2025")</f>
        <v/>
      </c>
      <c r="AB17">
        <f>HYPERLINK("https://klasma.github.io/Logging_0136/klagomålsmail/A 21231-2025 FSC-klagomål mail.docx", "A 21231-2025")</f>
        <v/>
      </c>
      <c r="AC17">
        <f>HYPERLINK("https://klasma.github.io/Logging_0136/tillsyn/A 21231-2025 tillsynsbegäran.docx", "A 21231-2025")</f>
        <v/>
      </c>
      <c r="AD17">
        <f>HYPERLINK("https://klasma.github.io/Logging_0136/tillsynsmail/A 21231-2025 tillsynsbegäran mail.docx", "A 21231-2025")</f>
        <v/>
      </c>
      <c r="AE17">
        <f>HYPERLINK("https://klasma.github.io/Logging_0136/fåglar/A 21231-2025 prioriterade fågelarter.docx", "A 21231-2025")</f>
        <v/>
      </c>
    </row>
    <row r="18" ht="15" customHeight="1">
      <c r="A18" t="inlineStr">
        <is>
          <t>A 14729-2023</t>
        </is>
      </c>
      <c r="B18" t="inlineStr">
        <is>
          <t>avverkningsanmälan</t>
        </is>
      </c>
      <c r="C18" t="inlineStr">
        <is>
          <t>Föryngringsavverkning</t>
        </is>
      </c>
      <c r="D18" s="1" t="n">
        <v>45014</v>
      </c>
      <c r="E18" s="1" t="n">
        <v>46307</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28861-2026</t>
        </is>
      </c>
      <c r="B19" t="inlineStr">
        <is>
          <t>avverkningsanmälan</t>
        </is>
      </c>
      <c r="C19" t="inlineStr">
        <is>
          <t>Avverkning för annat ändamål</t>
        </is>
      </c>
      <c r="D19" s="1" t="n">
        <v>46199</v>
      </c>
      <c r="E19" s="1" t="n">
        <v>46307</v>
      </c>
      <c r="F19" t="inlineStr">
        <is>
          <t>STOCKHOLMS LÄN</t>
        </is>
      </c>
      <c r="G19" t="inlineStr">
        <is>
          <t>HANINGE</t>
        </is>
      </c>
      <c r="I19" t="n">
        <v>1.3</v>
      </c>
      <c r="J19" t="n">
        <v>1</v>
      </c>
      <c r="K19" t="n">
        <v>1</v>
      </c>
      <c r="L19" t="n">
        <v>1</v>
      </c>
      <c r="M19" t="n">
        <v>0</v>
      </c>
      <c r="N19" t="n">
        <v>0</v>
      </c>
      <c r="O19" t="n">
        <v>0</v>
      </c>
      <c r="P19" t="n">
        <v>0</v>
      </c>
      <c r="Q19" t="n">
        <v>1</v>
      </c>
      <c r="R19" t="n">
        <v>0</v>
      </c>
      <c r="S19" t="n">
        <v>3</v>
      </c>
      <c r="T19" t="n">
        <v>3</v>
      </c>
      <c r="U19" t="n">
        <v>2</v>
      </c>
      <c r="V19" s="2" t="inlineStr">
        <is>
          <t>Skogshare
Grovticka
Nattskärra</t>
        </is>
      </c>
      <c r="W19">
        <f>HYPERLINK("https://klasma.github.io/Logging_0136/artfynd/A 28861-2026 artfynd.xlsx", "A 28861-2026")</f>
        <v/>
      </c>
      <c r="X19">
        <f>HYPERLINK("https://klasma.github.io/Logging_0136/kartor/A 28861-2026 karta.png", "A 28861-2026")</f>
        <v/>
      </c>
      <c r="Y19">
        <f>HYPERLINK("https://klasma.github.io/Logging_0136/kartor_geotiff/A 28861-2026 georefererad karta.tif", "A 28861-2026")</f>
        <v/>
      </c>
      <c r="AA19">
        <f>HYPERLINK("https://klasma.github.io/Logging_0136/klagomål/A 28861-2026 FSC-klagomål.docx", "A 28861-2026")</f>
        <v/>
      </c>
      <c r="AB19">
        <f>HYPERLINK("https://klasma.github.io/Logging_0136/klagomålsmail/A 28861-2026 FSC-klagomål mail.docx", "A 28861-2026")</f>
        <v/>
      </c>
      <c r="AC19">
        <f>HYPERLINK("https://klasma.github.io/Logging_0136/tillsyn/A 28861-2026 tillsynsbegäran.docx", "A 28861-2026")</f>
        <v/>
      </c>
      <c r="AD19">
        <f>HYPERLINK("https://klasma.github.io/Logging_0136/tillsynsmail/A 28861-2026 tillsynsbegäran mail.docx", "A 28861-2026")</f>
        <v/>
      </c>
      <c r="AE19">
        <f>HYPERLINK("https://klasma.github.io/Logging_0136/fåglar/A 28861-2026 prioriterade fågelarter.docx", "A 28861-2026")</f>
        <v/>
      </c>
    </row>
    <row r="20" ht="15" customHeight="1">
      <c r="A20" t="inlineStr">
        <is>
          <t>A 39636-2022</t>
        </is>
      </c>
      <c r="B20" t="inlineStr">
        <is>
          <t>avverkningsanmälan</t>
        </is>
      </c>
      <c r="C20" t="inlineStr">
        <is>
          <t>Föryngringsavverkning</t>
        </is>
      </c>
      <c r="D20" s="1" t="n">
        <v>44818</v>
      </c>
      <c r="E20" s="1" t="n">
        <v>46307</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37004-2022</t>
        </is>
      </c>
      <c r="B21" t="inlineStr">
        <is>
          <t>avverkningsanmälan</t>
        </is>
      </c>
      <c r="C21" t="inlineStr">
        <is>
          <t>Föryngringsavverkning</t>
        </is>
      </c>
      <c r="D21" s="1" t="n">
        <v>44806</v>
      </c>
      <c r="E21" s="1" t="n">
        <v>46307</v>
      </c>
      <c r="F21" t="inlineStr">
        <is>
          <t>STOCKHOLMS LÄN</t>
        </is>
      </c>
      <c r="G21" t="inlineStr">
        <is>
          <t>HANINGE</t>
        </is>
      </c>
      <c r="H21" t="inlineStr">
        <is>
          <t>Övriga statliga verk och myndigheter</t>
        </is>
      </c>
      <c r="I21" t="n">
        <v>4.4</v>
      </c>
      <c r="J21" t="n">
        <v>1</v>
      </c>
      <c r="K21" t="n">
        <v>1</v>
      </c>
      <c r="L21" t="n">
        <v>0</v>
      </c>
      <c r="M21" t="n">
        <v>0</v>
      </c>
      <c r="N21" t="n">
        <v>0</v>
      </c>
      <c r="O21" t="n">
        <v>0</v>
      </c>
      <c r="P21" t="n">
        <v>0</v>
      </c>
      <c r="Q21" t="n">
        <v>0</v>
      </c>
      <c r="R21" t="n">
        <v>0</v>
      </c>
      <c r="S21" t="n">
        <v>1</v>
      </c>
      <c r="T21" t="n">
        <v>1</v>
      </c>
      <c r="U21" t="n">
        <v>1</v>
      </c>
      <c r="V21" s="2" t="inlineStr">
        <is>
          <t>Skogsknipprot</t>
        </is>
      </c>
      <c r="W21">
        <f>HYPERLINK("https://klasma.github.io/Logging_0136/artfynd/A 37004-2022 artfynd.xlsx", "A 37004-2022")</f>
        <v/>
      </c>
      <c r="X21">
        <f>HYPERLINK("https://klasma.github.io/Logging_0136/kartor/A 37004-2022 karta.png", "A 37004-2022")</f>
        <v/>
      </c>
      <c r="Y21">
        <f>HYPERLINK("https://klasma.github.io/Logging_0136/kartor_geotiff/A 37004-2022 georefererad karta.tif", "A 37004-2022")</f>
        <v/>
      </c>
      <c r="AA21">
        <f>HYPERLINK("https://klasma.github.io/Logging_0136/klagomål/A 37004-2022 FSC-klagomål.docx", "A 37004-2022")</f>
        <v/>
      </c>
      <c r="AB21">
        <f>HYPERLINK("https://klasma.github.io/Logging_0136/klagomålsmail/A 37004-2022 FSC-klagomål mail.docx", "A 37004-2022")</f>
        <v/>
      </c>
      <c r="AC21">
        <f>HYPERLINK("https://klasma.github.io/Logging_0136/tillsyn/A 37004-2022 tillsynsbegäran.docx", "A 37004-2022")</f>
        <v/>
      </c>
      <c r="AD21">
        <f>HYPERLINK("https://klasma.github.io/Logging_0136/tillsynsmail/A 37004-2022 tillsynsbegäran mail.docx", "A 37004-2022")</f>
        <v/>
      </c>
    </row>
    <row r="22" ht="15" customHeight="1">
      <c r="A22" t="inlineStr">
        <is>
          <t>A 2722-2022</t>
        </is>
      </c>
      <c r="B22" t="inlineStr">
        <is>
          <t>avverkningsanmälan</t>
        </is>
      </c>
      <c r="C22" t="inlineStr">
        <is>
          <t>Föryngringsavverkning</t>
        </is>
      </c>
      <c r="D22" s="1" t="n">
        <v>44580</v>
      </c>
      <c r="E22" s="1" t="n">
        <v>46307</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34823-2022</t>
        </is>
      </c>
      <c r="B23" t="inlineStr">
        <is>
          <t>avverkningsanmälan</t>
        </is>
      </c>
      <c r="C23" t="inlineStr">
        <is>
          <t>Föryngringsavverkning</t>
        </is>
      </c>
      <c r="D23" s="1" t="n">
        <v>44796</v>
      </c>
      <c r="E23" s="1" t="n">
        <v>46307</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60369-2023</t>
        </is>
      </c>
      <c r="B24" t="inlineStr">
        <is>
          <t>avverkningsanmälan</t>
        </is>
      </c>
      <c r="C24" t="inlineStr">
        <is>
          <t>Föryngringsavverkning</t>
        </is>
      </c>
      <c r="D24" s="1" t="n">
        <v>45259</v>
      </c>
      <c r="E24" s="1" t="n">
        <v>46307</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6648-2023</t>
        </is>
      </c>
      <c r="B25" t="inlineStr">
        <is>
          <t>avverkningsanmälan</t>
        </is>
      </c>
      <c r="C25" t="inlineStr">
        <is>
          <t>Föryngringsavverkning</t>
        </is>
      </c>
      <c r="D25" s="1" t="n">
        <v>44966</v>
      </c>
      <c r="E25" s="1" t="n">
        <v>46307</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32479-2026</t>
        </is>
      </c>
      <c r="B26" t="inlineStr">
        <is>
          <t>avverkningsanmälan</t>
        </is>
      </c>
      <c r="C26" t="inlineStr">
        <is>
          <t>Föryngringsavverkning</t>
        </is>
      </c>
      <c r="D26" s="1" t="n">
        <v>46239</v>
      </c>
      <c r="E26" s="1" t="n">
        <v>46307</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46307</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46307</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46307</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46307</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13135-2022</t>
        </is>
      </c>
      <c r="B31" t="inlineStr">
        <is>
          <t>avverkningsanmälan</t>
        </is>
      </c>
      <c r="C31" t="inlineStr">
        <is>
          <t>Föryngringsavverkning</t>
        </is>
      </c>
      <c r="D31" s="1" t="n">
        <v>44643</v>
      </c>
      <c r="E31" s="1" t="n">
        <v>46307</v>
      </c>
      <c r="F31" t="inlineStr">
        <is>
          <t>STOCKHOLMS LÄN</t>
        </is>
      </c>
      <c r="G31" t="inlineStr">
        <is>
          <t>HANINGE</t>
        </is>
      </c>
      <c r="I31" t="n">
        <v>2</v>
      </c>
      <c r="J31" t="n">
        <v>0</v>
      </c>
      <c r="K31" t="n">
        <v>0</v>
      </c>
      <c r="L31" t="n">
        <v>0</v>
      </c>
      <c r="M31" t="n">
        <v>0</v>
      </c>
      <c r="N31" t="n">
        <v>0</v>
      </c>
      <c r="O31" t="n">
        <v>0</v>
      </c>
      <c r="P31" t="n">
        <v>0</v>
      </c>
      <c r="Q31" t="n">
        <v>0</v>
      </c>
      <c r="R31" t="n">
        <v>0</v>
      </c>
      <c r="S31" t="n">
        <v>0</v>
      </c>
      <c r="T31" t="n">
        <v>0</v>
      </c>
      <c r="U31" t="n">
        <v>0</v>
      </c>
      <c r="V31" s="2" t="inlineStr"/>
    </row>
    <row r="32" ht="15" customHeight="1">
      <c r="A32" t="inlineStr">
        <is>
          <t>A 30419-2022</t>
        </is>
      </c>
      <c r="B32" t="inlineStr">
        <is>
          <t>avverkningsanmälan</t>
        </is>
      </c>
      <c r="C32" t="inlineStr">
        <is>
          <t>Föryngringsavverkning</t>
        </is>
      </c>
      <c r="D32" s="1" t="n">
        <v>44761</v>
      </c>
      <c r="E32" s="1" t="n">
        <v>46307</v>
      </c>
      <c r="F32" t="inlineStr">
        <is>
          <t>STOCKHOLMS LÄN</t>
        </is>
      </c>
      <c r="G32" t="inlineStr">
        <is>
          <t>HANINGE</t>
        </is>
      </c>
      <c r="I32" t="n">
        <v>7.4</v>
      </c>
      <c r="J32" t="n">
        <v>0</v>
      </c>
      <c r="K32" t="n">
        <v>0</v>
      </c>
      <c r="L32" t="n">
        <v>0</v>
      </c>
      <c r="M32" t="n">
        <v>0</v>
      </c>
      <c r="N32" t="n">
        <v>0</v>
      </c>
      <c r="O32" t="n">
        <v>0</v>
      </c>
      <c r="P32" t="n">
        <v>0</v>
      </c>
      <c r="Q32" t="n">
        <v>0</v>
      </c>
      <c r="R32" t="n">
        <v>0</v>
      </c>
      <c r="S32" t="n">
        <v>0</v>
      </c>
      <c r="T32" t="n">
        <v>0</v>
      </c>
      <c r="U32" t="n">
        <v>0</v>
      </c>
      <c r="V32" s="2" t="inlineStr"/>
    </row>
    <row r="33" ht="15" customHeight="1">
      <c r="A33" t="inlineStr">
        <is>
          <t>A 19652-2022</t>
        </is>
      </c>
      <c r="B33" t="inlineStr">
        <is>
          <t>avverkningsanmälan</t>
        </is>
      </c>
      <c r="C33" t="inlineStr">
        <is>
          <t>Avverkning för annat ändamål</t>
        </is>
      </c>
      <c r="D33" s="1" t="n">
        <v>44694</v>
      </c>
      <c r="E33" s="1" t="n">
        <v>46307</v>
      </c>
      <c r="F33" t="inlineStr">
        <is>
          <t>STOCKHOLMS LÄN</t>
        </is>
      </c>
      <c r="G33" t="inlineStr">
        <is>
          <t>HANINGE</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41266-2022</t>
        </is>
      </c>
      <c r="B34" t="inlineStr">
        <is>
          <t>avverkningsanmälan</t>
        </is>
      </c>
      <c r="C34" t="inlineStr">
        <is>
          <t>Föryngringsavverkning</t>
        </is>
      </c>
      <c r="D34" s="1" t="n">
        <v>44825</v>
      </c>
      <c r="E34" s="1" t="n">
        <v>46307</v>
      </c>
      <c r="F34" t="inlineStr">
        <is>
          <t>STOCKHOLMS LÄN</t>
        </is>
      </c>
      <c r="G34" t="inlineStr">
        <is>
          <t>HANINGE</t>
        </is>
      </c>
      <c r="H34" t="inlineStr">
        <is>
          <t>Övriga statliga verk och myndigheter</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46307</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20839-2024</t>
        </is>
      </c>
      <c r="B36" t="inlineStr">
        <is>
          <t>avverkningsanmälan</t>
        </is>
      </c>
      <c r="C36" t="inlineStr">
        <is>
          <t>Föryngringsavverkning</t>
        </is>
      </c>
      <c r="D36" s="1" t="n">
        <v>45439</v>
      </c>
      <c r="E36" s="1" t="n">
        <v>46307</v>
      </c>
      <c r="F36" t="inlineStr">
        <is>
          <t>STOCKHOLMS LÄN</t>
        </is>
      </c>
      <c r="G36" t="inlineStr">
        <is>
          <t>HANINGE</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24873-2023</t>
        </is>
      </c>
      <c r="B37" t="inlineStr">
        <is>
          <t>avverkningsanmälan</t>
        </is>
      </c>
      <c r="C37" t="inlineStr">
        <is>
          <t>Föryngringsavverkning</t>
        </is>
      </c>
      <c r="D37" s="1" t="n">
        <v>45085</v>
      </c>
      <c r="E37" s="1" t="n">
        <v>46307</v>
      </c>
      <c r="F37" t="inlineStr">
        <is>
          <t>STOCKHOLMS LÄN</t>
        </is>
      </c>
      <c r="G37" t="inlineStr">
        <is>
          <t>HANINGE</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23666-2024</t>
        </is>
      </c>
      <c r="B38" t="inlineStr">
        <is>
          <t>avverkningsanmälan</t>
        </is>
      </c>
      <c r="C38" t="inlineStr">
        <is>
          <t>Föryngringsavverkning</t>
        </is>
      </c>
      <c r="D38" s="1" t="n">
        <v>45454</v>
      </c>
      <c r="E38" s="1" t="n">
        <v>46307</v>
      </c>
      <c r="F38" t="inlineStr">
        <is>
          <t>STOCKHOLMS LÄN</t>
        </is>
      </c>
      <c r="G38" t="inlineStr">
        <is>
          <t>HANINGE</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9946-2024</t>
        </is>
      </c>
      <c r="B39" t="inlineStr">
        <is>
          <t>avverkningsanmälan</t>
        </is>
      </c>
      <c r="C39" t="inlineStr">
        <is>
          <t>Föryngringsavverkning</t>
        </is>
      </c>
      <c r="D39" s="1" t="n">
        <v>45363</v>
      </c>
      <c r="E39" s="1" t="n">
        <v>46307</v>
      </c>
      <c r="F39" t="inlineStr">
        <is>
          <t>STOCKHOLMS LÄN</t>
        </is>
      </c>
      <c r="G39" t="inlineStr">
        <is>
          <t>HANINGE</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3156-2025</t>
        </is>
      </c>
      <c r="B40" t="inlineStr">
        <is>
          <t>avverkningsanmälan</t>
        </is>
      </c>
      <c r="C40" t="inlineStr">
        <is>
          <t>Föryngringsavverkning</t>
        </is>
      </c>
      <c r="D40" s="1" t="n">
        <v>45679</v>
      </c>
      <c r="E40" s="1" t="n">
        <v>46307</v>
      </c>
      <c r="F40" t="inlineStr">
        <is>
          <t>STOCKHOLMS LÄN</t>
        </is>
      </c>
      <c r="G40" t="inlineStr">
        <is>
          <t>HANINGE</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18491-2025</t>
        </is>
      </c>
      <c r="B41" t="inlineStr">
        <is>
          <t>avverkningsanmälan</t>
        </is>
      </c>
      <c r="C41" t="inlineStr">
        <is>
          <t>Föryngringsavverkning</t>
        </is>
      </c>
      <c r="D41" s="1" t="n">
        <v>45763</v>
      </c>
      <c r="E41" s="1" t="n">
        <v>46307</v>
      </c>
      <c r="F41" t="inlineStr">
        <is>
          <t>STOCKHOLMS LÄN</t>
        </is>
      </c>
      <c r="G41" t="inlineStr">
        <is>
          <t>HANINGE</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18512-2024</t>
        </is>
      </c>
      <c r="B42" t="inlineStr">
        <is>
          <t>avverkningsanmälan</t>
        </is>
      </c>
      <c r="C42" t="inlineStr">
        <is>
          <t>Föryngringsavverkning</t>
        </is>
      </c>
      <c r="D42" s="1" t="n">
        <v>45425</v>
      </c>
      <c r="E42" s="1" t="n">
        <v>46307</v>
      </c>
      <c r="F42" t="inlineStr">
        <is>
          <t>STOCKHOLMS LÄN</t>
        </is>
      </c>
      <c r="G42" t="inlineStr">
        <is>
          <t>HANINGE</t>
        </is>
      </c>
      <c r="H42" t="inlineStr">
        <is>
          <t>Kommuner</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4297-2024</t>
        </is>
      </c>
      <c r="B43" t="inlineStr">
        <is>
          <t>avverkningsanmälan</t>
        </is>
      </c>
      <c r="C43" t="inlineStr">
        <is>
          <t>Föryngringsavverkning</t>
        </is>
      </c>
      <c r="D43" s="1" t="n">
        <v>45324</v>
      </c>
      <c r="E43" s="1" t="n">
        <v>46307</v>
      </c>
      <c r="F43" t="inlineStr">
        <is>
          <t>STOCKHOLMS LÄN</t>
        </is>
      </c>
      <c r="G43" t="inlineStr">
        <is>
          <t>HANINGE</t>
        </is>
      </c>
      <c r="H43" t="inlineStr">
        <is>
          <t>Kommuner</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52836-2024</t>
        </is>
      </c>
      <c r="B44" t="inlineStr">
        <is>
          <t>avverkningsanmälan</t>
        </is>
      </c>
      <c r="C44" t="inlineStr">
        <is>
          <t>Föryngringsavverkning</t>
        </is>
      </c>
      <c r="D44" s="1" t="n">
        <v>45610</v>
      </c>
      <c r="E44" s="1" t="n">
        <v>46307</v>
      </c>
      <c r="F44" t="inlineStr">
        <is>
          <t>STOCKHOLMS LÄN</t>
        </is>
      </c>
      <c r="G44" t="inlineStr">
        <is>
          <t>HANINGE</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68896-2021</t>
        </is>
      </c>
      <c r="B45" t="inlineStr">
        <is>
          <t>avverkningsanmälan</t>
        </is>
      </c>
      <c r="C45" t="inlineStr">
        <is>
          <t>Föryngringsavverkning</t>
        </is>
      </c>
      <c r="D45" s="1" t="n">
        <v>44526</v>
      </c>
      <c r="E45" s="1" t="n">
        <v>46307</v>
      </c>
      <c r="F45" t="inlineStr">
        <is>
          <t>STOCKHOLMS LÄN</t>
        </is>
      </c>
      <c r="G45" t="inlineStr">
        <is>
          <t>HANINGE</t>
        </is>
      </c>
      <c r="I45" t="n">
        <v>3.4</v>
      </c>
      <c r="J45" t="n">
        <v>0</v>
      </c>
      <c r="K45" t="n">
        <v>0</v>
      </c>
      <c r="L45" t="n">
        <v>0</v>
      </c>
      <c r="M45" t="n">
        <v>0</v>
      </c>
      <c r="N45" t="n">
        <v>0</v>
      </c>
      <c r="O45" t="n">
        <v>0</v>
      </c>
      <c r="P45" t="n">
        <v>0</v>
      </c>
      <c r="Q45" t="n">
        <v>0</v>
      </c>
      <c r="R45" t="n">
        <v>0</v>
      </c>
      <c r="S45" t="n">
        <v>0</v>
      </c>
      <c r="T45" t="n">
        <v>0</v>
      </c>
      <c r="U45" t="n">
        <v>0</v>
      </c>
      <c r="V45" s="2" t="inlineStr"/>
    </row>
    <row r="46" ht="15" customHeight="1">
      <c r="A46" t="inlineStr">
        <is>
          <t>A 5474-2024</t>
        </is>
      </c>
      <c r="B46" t="inlineStr">
        <is>
          <t>avverkningsanmälan</t>
        </is>
      </c>
      <c r="C46" t="inlineStr">
        <is>
          <t>Föryngringsavverkning</t>
        </is>
      </c>
      <c r="D46" s="1" t="n">
        <v>45333</v>
      </c>
      <c r="E46" s="1" t="n">
        <v>46307</v>
      </c>
      <c r="F46" t="inlineStr">
        <is>
          <t>STOCKHOLMS LÄN</t>
        </is>
      </c>
      <c r="G46" t="inlineStr">
        <is>
          <t>HANINGE</t>
        </is>
      </c>
      <c r="H46" t="inlineStr">
        <is>
          <t>Kommuner</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14900-2025</t>
        </is>
      </c>
      <c r="B47" t="inlineStr">
        <is>
          <t>avverkningsanmälan</t>
        </is>
      </c>
      <c r="C47" t="inlineStr">
        <is>
          <t>Föryngringsavverkning</t>
        </is>
      </c>
      <c r="D47" s="1" t="n">
        <v>45743</v>
      </c>
      <c r="E47" s="1" t="n">
        <v>46307</v>
      </c>
      <c r="F47" t="inlineStr">
        <is>
          <t>STOCKHOLMS LÄN</t>
        </is>
      </c>
      <c r="G47" t="inlineStr">
        <is>
          <t>HANINGE</t>
        </is>
      </c>
      <c r="I47" t="n">
        <v>4.5</v>
      </c>
      <c r="J47" t="n">
        <v>0</v>
      </c>
      <c r="K47" t="n">
        <v>0</v>
      </c>
      <c r="L47" t="n">
        <v>0</v>
      </c>
      <c r="M47" t="n">
        <v>0</v>
      </c>
      <c r="N47" t="n">
        <v>0</v>
      </c>
      <c r="O47" t="n">
        <v>0</v>
      </c>
      <c r="P47" t="n">
        <v>0</v>
      </c>
      <c r="Q47" t="n">
        <v>0</v>
      </c>
      <c r="R47" t="n">
        <v>0</v>
      </c>
      <c r="S47" t="n">
        <v>0</v>
      </c>
      <c r="T47" t="n">
        <v>0</v>
      </c>
      <c r="U47" t="n">
        <v>0</v>
      </c>
      <c r="V47" s="2" t="inlineStr"/>
    </row>
    <row r="48" ht="15" customHeight="1">
      <c r="A48" t="inlineStr">
        <is>
          <t>A 17765-2024</t>
        </is>
      </c>
      <c r="B48" t="inlineStr">
        <is>
          <t>avverkningsanmälan</t>
        </is>
      </c>
      <c r="C48" t="inlineStr">
        <is>
          <t>Föryngringsavverkning</t>
        </is>
      </c>
      <c r="D48" s="1" t="n">
        <v>45418</v>
      </c>
      <c r="E48" s="1" t="n">
        <v>46307</v>
      </c>
      <c r="F48" t="inlineStr">
        <is>
          <t>STOCKHOLMS LÄN</t>
        </is>
      </c>
      <c r="G48" t="inlineStr">
        <is>
          <t>HANINGE</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25584-2023</t>
        </is>
      </c>
      <c r="B49" t="inlineStr">
        <is>
          <t>avverkningsanmälan</t>
        </is>
      </c>
      <c r="C49" t="inlineStr">
        <is>
          <t>Föryngringsavverkning</t>
        </is>
      </c>
      <c r="D49" s="1" t="n">
        <v>45089</v>
      </c>
      <c r="E49" s="1" t="n">
        <v>46307</v>
      </c>
      <c r="F49" t="inlineStr">
        <is>
          <t>STOCKHOLMS LÄN</t>
        </is>
      </c>
      <c r="G49" t="inlineStr">
        <is>
          <t>HANINGE</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24193-2025</t>
        </is>
      </c>
      <c r="B50" t="inlineStr">
        <is>
          <t>avverkningsanmälan</t>
        </is>
      </c>
      <c r="C50" t="inlineStr">
        <is>
          <t>Föryngringsavverkning</t>
        </is>
      </c>
      <c r="D50" s="1" t="n">
        <v>45796</v>
      </c>
      <c r="E50" s="1" t="n">
        <v>46307</v>
      </c>
      <c r="F50" t="inlineStr">
        <is>
          <t>STOCKHOLMS LÄN</t>
        </is>
      </c>
      <c r="G50" t="inlineStr">
        <is>
          <t>HANINGE</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64075-2023</t>
        </is>
      </c>
      <c r="B51" t="inlineStr">
        <is>
          <t>avverkningsanmälan</t>
        </is>
      </c>
      <c r="C51" t="inlineStr">
        <is>
          <t>Föryngringsavverkning</t>
        </is>
      </c>
      <c r="D51" s="1" t="n">
        <v>45279</v>
      </c>
      <c r="E51" s="1" t="n">
        <v>46307</v>
      </c>
      <c r="F51" t="inlineStr">
        <is>
          <t>STOCKHOLMS LÄN</t>
        </is>
      </c>
      <c r="G51" t="inlineStr">
        <is>
          <t>HANINGE</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58599-2023</t>
        </is>
      </c>
      <c r="B52" t="inlineStr">
        <is>
          <t>avverkningsanmälan</t>
        </is>
      </c>
      <c r="C52" t="inlineStr">
        <is>
          <t>Föryngringsavverkning</t>
        </is>
      </c>
      <c r="D52" s="1" t="n">
        <v>45251</v>
      </c>
      <c r="E52" s="1" t="n">
        <v>46307</v>
      </c>
      <c r="F52" t="inlineStr">
        <is>
          <t>STOCKHOLMS LÄN</t>
        </is>
      </c>
      <c r="G52" t="inlineStr">
        <is>
          <t>HANINGE</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27596-2025</t>
        </is>
      </c>
      <c r="B53" t="inlineStr">
        <is>
          <t>avverkningsanmälan</t>
        </is>
      </c>
      <c r="C53" t="inlineStr">
        <is>
          <t>Avverkning för att bevara och utveckla /försöksver</t>
        </is>
      </c>
      <c r="D53" s="1" t="n">
        <v>45813</v>
      </c>
      <c r="E53" s="1" t="n">
        <v>46307</v>
      </c>
      <c r="F53" t="inlineStr">
        <is>
          <t>STOCKHOLMS LÄN</t>
        </is>
      </c>
      <c r="G53" t="inlineStr">
        <is>
          <t>HANINGE</t>
        </is>
      </c>
      <c r="I53" t="n">
        <v>0.1</v>
      </c>
      <c r="J53" t="n">
        <v>0</v>
      </c>
      <c r="K53" t="n">
        <v>0</v>
      </c>
      <c r="L53" t="n">
        <v>0</v>
      </c>
      <c r="M53" t="n">
        <v>0</v>
      </c>
      <c r="N53" t="n">
        <v>0</v>
      </c>
      <c r="O53" t="n">
        <v>0</v>
      </c>
      <c r="P53" t="n">
        <v>0</v>
      </c>
      <c r="Q53" t="n">
        <v>0</v>
      </c>
      <c r="R53" t="n">
        <v>0</v>
      </c>
      <c r="S53" t="n">
        <v>0</v>
      </c>
      <c r="T53" t="n">
        <v>0</v>
      </c>
      <c r="U53" t="n">
        <v>0</v>
      </c>
      <c r="V53" s="2" t="inlineStr"/>
    </row>
    <row r="54" ht="15" customHeight="1">
      <c r="A54" t="inlineStr">
        <is>
          <t>A 18528-2024</t>
        </is>
      </c>
      <c r="B54" t="inlineStr">
        <is>
          <t>avverkningsanmälan</t>
        </is>
      </c>
      <c r="C54" t="inlineStr">
        <is>
          <t>Föryngringsavverkning</t>
        </is>
      </c>
      <c r="D54" s="1" t="n">
        <v>45425</v>
      </c>
      <c r="E54" s="1" t="n">
        <v>46307</v>
      </c>
      <c r="F54" t="inlineStr">
        <is>
          <t>STOCKHOLMS LÄN</t>
        </is>
      </c>
      <c r="G54" t="inlineStr">
        <is>
          <t>HANINGE</t>
        </is>
      </c>
      <c r="H54" t="inlineStr">
        <is>
          <t>Kommuner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20527-2025</t>
        </is>
      </c>
      <c r="B55" t="inlineStr">
        <is>
          <t>avverkningsanmälan</t>
        </is>
      </c>
      <c r="C55" t="inlineStr">
        <is>
          <t>Föryngringsavverkning</t>
        </is>
      </c>
      <c r="D55" s="1" t="n">
        <v>45775</v>
      </c>
      <c r="E55" s="1" t="n">
        <v>46307</v>
      </c>
      <c r="F55" t="inlineStr">
        <is>
          <t>STOCKHOLMS LÄN</t>
        </is>
      </c>
      <c r="G55" t="inlineStr">
        <is>
          <t>HANINGE</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1180-2024</t>
        </is>
      </c>
      <c r="B56" t="inlineStr">
        <is>
          <t>avverkningsanmälan</t>
        </is>
      </c>
      <c r="C56" t="inlineStr">
        <is>
          <t>Föryngringsavverkning</t>
        </is>
      </c>
      <c r="D56" s="1" t="n">
        <v>45302</v>
      </c>
      <c r="E56" s="1" t="n">
        <v>46307</v>
      </c>
      <c r="F56" t="inlineStr">
        <is>
          <t>STOCKHOLMS LÄN</t>
        </is>
      </c>
      <c r="G56" t="inlineStr">
        <is>
          <t>HANINGE</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14264-2025</t>
        </is>
      </c>
      <c r="B57" t="inlineStr">
        <is>
          <t>avverkningsanmälan</t>
        </is>
      </c>
      <c r="C57" t="inlineStr">
        <is>
          <t>Föryngringsavverkning</t>
        </is>
      </c>
      <c r="D57" s="1" t="n">
        <v>45740</v>
      </c>
      <c r="E57" s="1" t="n">
        <v>46307</v>
      </c>
      <c r="F57" t="inlineStr">
        <is>
          <t>STOCKHOLMS LÄN</t>
        </is>
      </c>
      <c r="G57" t="inlineStr">
        <is>
          <t>HANINGE</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19220-2023</t>
        </is>
      </c>
      <c r="B58" t="inlineStr">
        <is>
          <t>avverkningsanmälan</t>
        </is>
      </c>
      <c r="C58" t="inlineStr">
        <is>
          <t>Föryngringsavverkning</t>
        </is>
      </c>
      <c r="D58" s="1" t="n">
        <v>45048</v>
      </c>
      <c r="E58" s="1" t="n">
        <v>46307</v>
      </c>
      <c r="F58" t="inlineStr">
        <is>
          <t>STOCKHOLMS LÄN</t>
        </is>
      </c>
      <c r="G58" t="inlineStr">
        <is>
          <t>HANINGE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18490-2025</t>
        </is>
      </c>
      <c r="B59" t="inlineStr">
        <is>
          <t>avverkningsanmälan</t>
        </is>
      </c>
      <c r="C59" t="inlineStr">
        <is>
          <t>Föryngringsavverkning</t>
        </is>
      </c>
      <c r="D59" s="1" t="n">
        <v>45763</v>
      </c>
      <c r="E59" s="1" t="n">
        <v>46307</v>
      </c>
      <c r="F59" t="inlineStr">
        <is>
          <t>STOCKHOLMS LÄN</t>
        </is>
      </c>
      <c r="G59" t="inlineStr">
        <is>
          <t>HANINGE</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50306-2023</t>
        </is>
      </c>
      <c r="B60" t="inlineStr">
        <is>
          <t>avverkningsanmälan</t>
        </is>
      </c>
      <c r="C60" t="inlineStr">
        <is>
          <t>Föryngringsavverkning</t>
        </is>
      </c>
      <c r="D60" s="1" t="n">
        <v>45209</v>
      </c>
      <c r="E60" s="1" t="n">
        <v>46307</v>
      </c>
      <c r="F60" t="inlineStr">
        <is>
          <t>STOCKHOLMS LÄN</t>
        </is>
      </c>
      <c r="G60" t="inlineStr">
        <is>
          <t>HANINGE</t>
        </is>
      </c>
      <c r="I60" t="n">
        <v>2.3</v>
      </c>
      <c r="J60" t="n">
        <v>0</v>
      </c>
      <c r="K60" t="n">
        <v>0</v>
      </c>
      <c r="L60" t="n">
        <v>0</v>
      </c>
      <c r="M60" t="n">
        <v>0</v>
      </c>
      <c r="N60" t="n">
        <v>0</v>
      </c>
      <c r="O60" t="n">
        <v>0</v>
      </c>
      <c r="P60" t="n">
        <v>0</v>
      </c>
      <c r="Q60" t="n">
        <v>0</v>
      </c>
      <c r="R60" t="n">
        <v>0</v>
      </c>
      <c r="S60" t="n">
        <v>0</v>
      </c>
      <c r="T60" t="n">
        <v>0</v>
      </c>
      <c r="U60" t="n">
        <v>0</v>
      </c>
      <c r="V60" s="2" t="inlineStr"/>
      <c r="Z60">
        <f>HYPERLINK("https://klasma.github.io/Logging_0136/knärot/A 50306-2023 karta knärot.png", "A 50306-2023")</f>
        <v/>
      </c>
      <c r="AA60">
        <f>HYPERLINK("https://klasma.github.io/Logging_0136/klagomål/A 50306-2023 FSC-klagomål.docx", "A 50306-2023")</f>
        <v/>
      </c>
      <c r="AB60">
        <f>HYPERLINK("https://klasma.github.io/Logging_0136/klagomålsmail/A 50306-2023 FSC-klagomål mail.docx", "A 50306-2023")</f>
        <v/>
      </c>
      <c r="AC60">
        <f>HYPERLINK("https://klasma.github.io/Logging_0136/tillsyn/A 50306-2023 tillsynsbegäran.docx", "A 50306-2023")</f>
        <v/>
      </c>
      <c r="AD60">
        <f>HYPERLINK("https://klasma.github.io/Logging_0136/tillsynsmail/A 50306-2023 tillsynsbegäran mail.docx", "A 50306-2023")</f>
        <v/>
      </c>
    </row>
    <row r="61" ht="15" customHeight="1">
      <c r="A61" t="inlineStr">
        <is>
          <t>A 22288-2023</t>
        </is>
      </c>
      <c r="B61" t="inlineStr">
        <is>
          <t>avverkningsanmälan</t>
        </is>
      </c>
      <c r="C61" t="inlineStr">
        <is>
          <t>Föryngringsavverkning</t>
        </is>
      </c>
      <c r="D61" s="1" t="n">
        <v>45070</v>
      </c>
      <c r="E61" s="1" t="n">
        <v>46307</v>
      </c>
      <c r="F61" t="inlineStr">
        <is>
          <t>STOCKHOLMS LÄN</t>
        </is>
      </c>
      <c r="G61" t="inlineStr">
        <is>
          <t>HANINGE</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33792-2023</t>
        </is>
      </c>
      <c r="B62" t="inlineStr">
        <is>
          <t>avverkningsanmälan</t>
        </is>
      </c>
      <c r="C62" t="inlineStr">
        <is>
          <t>Föryngringsavverkning</t>
        </is>
      </c>
      <c r="D62" s="1" t="n">
        <v>45121</v>
      </c>
      <c r="E62" s="1" t="n">
        <v>46307</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64568-2023</t>
        </is>
      </c>
      <c r="B63" t="inlineStr">
        <is>
          <t>avverkningsanmälan</t>
        </is>
      </c>
      <c r="C63" t="inlineStr">
        <is>
          <t>Föryngringsavverkning</t>
        </is>
      </c>
      <c r="D63" s="1" t="n">
        <v>45281</v>
      </c>
      <c r="E63" s="1" t="n">
        <v>46307</v>
      </c>
      <c r="F63" t="inlineStr">
        <is>
          <t>STOCKHOLMS LÄN</t>
        </is>
      </c>
      <c r="G63" t="inlineStr">
        <is>
          <t>HANINGE</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18548-2024</t>
        </is>
      </c>
      <c r="B64" t="inlineStr">
        <is>
          <t>avverkningsanmälan</t>
        </is>
      </c>
      <c r="C64" t="inlineStr">
        <is>
          <t>Föryngringsavverkning</t>
        </is>
      </c>
      <c r="D64" s="1" t="n">
        <v>45425</v>
      </c>
      <c r="E64" s="1" t="n">
        <v>46307</v>
      </c>
      <c r="F64" t="inlineStr">
        <is>
          <t>STOCKHOLMS LÄN</t>
        </is>
      </c>
      <c r="G64" t="inlineStr">
        <is>
          <t>HANINGE</t>
        </is>
      </c>
      <c r="H64" t="inlineStr">
        <is>
          <t>Kommuner</t>
        </is>
      </c>
      <c r="I64" t="n">
        <v>7.3</v>
      </c>
      <c r="J64" t="n">
        <v>0</v>
      </c>
      <c r="K64" t="n">
        <v>0</v>
      </c>
      <c r="L64" t="n">
        <v>0</v>
      </c>
      <c r="M64" t="n">
        <v>0</v>
      </c>
      <c r="N64" t="n">
        <v>0</v>
      </c>
      <c r="O64" t="n">
        <v>0</v>
      </c>
      <c r="P64" t="n">
        <v>0</v>
      </c>
      <c r="Q64" t="n">
        <v>0</v>
      </c>
      <c r="R64" t="n">
        <v>0</v>
      </c>
      <c r="S64" t="n">
        <v>0</v>
      </c>
      <c r="T64" t="n">
        <v>0</v>
      </c>
      <c r="U64" t="n">
        <v>0</v>
      </c>
      <c r="V64" s="2" t="inlineStr"/>
    </row>
    <row r="65" ht="15" customHeight="1">
      <c r="A65" t="inlineStr">
        <is>
          <t>A 68894-2021</t>
        </is>
      </c>
      <c r="B65" t="inlineStr">
        <is>
          <t>avverkningsanmälan</t>
        </is>
      </c>
      <c r="C65" t="inlineStr">
        <is>
          <t>Föryngringsavverkning</t>
        </is>
      </c>
      <c r="D65" s="1" t="n">
        <v>44526</v>
      </c>
      <c r="E65" s="1" t="n">
        <v>46307</v>
      </c>
      <c r="F65" t="inlineStr">
        <is>
          <t>STOCKHOLMS LÄN</t>
        </is>
      </c>
      <c r="G65" t="inlineStr">
        <is>
          <t>HANINGE</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48606-2025</t>
        </is>
      </c>
      <c r="B66" t="inlineStr">
        <is>
          <t>avverkningsanmälan</t>
        </is>
      </c>
      <c r="C66" t="inlineStr">
        <is>
          <t>Föryngringsavverkning</t>
        </is>
      </c>
      <c r="D66" s="1" t="n">
        <v>45936</v>
      </c>
      <c r="E66" s="1" t="n">
        <v>46307</v>
      </c>
      <c r="F66" t="inlineStr">
        <is>
          <t>STOCKHOLMS LÄN</t>
        </is>
      </c>
      <c r="G66" t="inlineStr">
        <is>
          <t>HANINGE</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13046-2022</t>
        </is>
      </c>
      <c r="B67" t="inlineStr">
        <is>
          <t>avverkningsanmälan</t>
        </is>
      </c>
      <c r="C67" t="inlineStr">
        <is>
          <t>Föryngringsavverkning</t>
        </is>
      </c>
      <c r="D67" s="1" t="n">
        <v>44643</v>
      </c>
      <c r="E67" s="1" t="n">
        <v>46307</v>
      </c>
      <c r="F67" t="inlineStr">
        <is>
          <t>STOCKHOLMS LÄN</t>
        </is>
      </c>
      <c r="G67" t="inlineStr">
        <is>
          <t>HANINGE</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32948-2025</t>
        </is>
      </c>
      <c r="B68" t="inlineStr">
        <is>
          <t>avverkningsanmälan</t>
        </is>
      </c>
      <c r="C68" t="inlineStr">
        <is>
          <t>Föryngringsavverkning</t>
        </is>
      </c>
      <c r="D68" s="1" t="n">
        <v>45839</v>
      </c>
      <c r="E68" s="1" t="n">
        <v>46307</v>
      </c>
      <c r="F68" t="inlineStr">
        <is>
          <t>STOCKHOLMS LÄN</t>
        </is>
      </c>
      <c r="G68" t="inlineStr">
        <is>
          <t>HANINGE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8078-2024</t>
        </is>
      </c>
      <c r="B69" t="inlineStr">
        <is>
          <t>avverkningsanmälan</t>
        </is>
      </c>
      <c r="C69" t="inlineStr">
        <is>
          <t>Föryngringsavverkning</t>
        </is>
      </c>
      <c r="D69" s="1" t="n">
        <v>45351</v>
      </c>
      <c r="E69" s="1" t="n">
        <v>46307</v>
      </c>
      <c r="F69" t="inlineStr">
        <is>
          <t>STOCKHOLMS LÄN</t>
        </is>
      </c>
      <c r="G69" t="inlineStr">
        <is>
          <t>HANINGE</t>
        </is>
      </c>
      <c r="H69" t="inlineStr">
        <is>
          <t>Kommuner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52770-2024</t>
        </is>
      </c>
      <c r="B70" t="inlineStr">
        <is>
          <t>avverkningsanmälan</t>
        </is>
      </c>
      <c r="C70" t="inlineStr">
        <is>
          <t>Föryngringsavverkning</t>
        </is>
      </c>
      <c r="D70" s="1" t="n">
        <v>45610</v>
      </c>
      <c r="E70" s="1" t="n">
        <v>46307</v>
      </c>
      <c r="F70" t="inlineStr">
        <is>
          <t>STOCKHOLMS LÄN</t>
        </is>
      </c>
      <c r="G70" t="inlineStr">
        <is>
          <t>HANINGE</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12787-2026</t>
        </is>
      </c>
      <c r="B71" t="inlineStr">
        <is>
          <t>avverkningsanmälan</t>
        </is>
      </c>
      <c r="C71" t="inlineStr">
        <is>
          <t>Föryngringsavverkning</t>
        </is>
      </c>
      <c r="D71" s="1" t="n">
        <v>46091</v>
      </c>
      <c r="E71" s="1" t="n">
        <v>46307</v>
      </c>
      <c r="F71" t="inlineStr">
        <is>
          <t>STOCKHOLMS LÄN</t>
        </is>
      </c>
      <c r="G71" t="inlineStr">
        <is>
          <t>HANINGE</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24800-2026</t>
        </is>
      </c>
      <c r="B72" t="inlineStr">
        <is>
          <t>avverkningsanmälan</t>
        </is>
      </c>
      <c r="C72" t="inlineStr">
        <is>
          <t>Föryngringsavverkning</t>
        </is>
      </c>
      <c r="D72" s="1" t="n">
        <v>46171</v>
      </c>
      <c r="E72" s="1" t="n">
        <v>46307</v>
      </c>
      <c r="F72" t="inlineStr">
        <is>
          <t>STOCKHOLMS LÄN</t>
        </is>
      </c>
      <c r="G72" t="inlineStr">
        <is>
          <t>HANINGE</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26417-2026</t>
        </is>
      </c>
      <c r="B73" t="inlineStr">
        <is>
          <t>avverkningsanmälan</t>
        </is>
      </c>
      <c r="C73" t="inlineStr">
        <is>
          <t>Föryngringsavverkning</t>
        </is>
      </c>
      <c r="D73" s="1" t="n">
        <v>46183</v>
      </c>
      <c r="E73" s="1" t="n">
        <v>46307</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26886-2026</t>
        </is>
      </c>
      <c r="B74" t="inlineStr">
        <is>
          <t>avverkningsanmälan</t>
        </is>
      </c>
      <c r="C74" t="inlineStr">
        <is>
          <t>Avverkning för annat ändamål</t>
        </is>
      </c>
      <c r="D74" s="1" t="n">
        <v>46185</v>
      </c>
      <c r="E74" s="1" t="n">
        <v>46307</v>
      </c>
      <c r="F74" t="inlineStr">
        <is>
          <t>STOCKHOLMS LÄN</t>
        </is>
      </c>
      <c r="G74" t="inlineStr">
        <is>
          <t>HANINGE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32486-2026</t>
        </is>
      </c>
      <c r="B75" t="inlineStr">
        <is>
          <t>avverkningsanmälan</t>
        </is>
      </c>
      <c r="C75" t="inlineStr">
        <is>
          <t>Föryngringsavverkning</t>
        </is>
      </c>
      <c r="D75" s="1" t="n">
        <v>46239</v>
      </c>
      <c r="E75" s="1" t="n">
        <v>46307</v>
      </c>
      <c r="F75" t="inlineStr">
        <is>
          <t>STOCKHOLMS LÄN</t>
        </is>
      </c>
      <c r="G75" t="inlineStr">
        <is>
          <t>HANINGE</t>
        </is>
      </c>
      <c r="I75" t="n">
        <v>1</v>
      </c>
      <c r="J75" t="n">
        <v>0</v>
      </c>
      <c r="K75" t="n">
        <v>0</v>
      </c>
      <c r="L75" t="n">
        <v>0</v>
      </c>
      <c r="M75" t="n">
        <v>0</v>
      </c>
      <c r="N75" t="n">
        <v>0</v>
      </c>
      <c r="O75" t="n">
        <v>0</v>
      </c>
      <c r="P75" t="n">
        <v>0</v>
      </c>
      <c r="Q75" t="n">
        <v>0</v>
      </c>
      <c r="R75" t="n">
        <v>0</v>
      </c>
      <c r="S75" t="n">
        <v>0</v>
      </c>
      <c r="T75" t="n">
        <v>0</v>
      </c>
      <c r="U75" t="n">
        <v>0</v>
      </c>
      <c r="V75" s="2" t="inlineStr"/>
    </row>
    <row r="76">
      <c r="A76" t="inlineStr">
        <is>
          <t>S 1718-2026</t>
        </is>
      </c>
      <c r="B76" t="inlineStr">
        <is>
          <t>samrådsanmälan</t>
        </is>
      </c>
      <c r="C76" t="inlineStr">
        <is>
          <t>Annan skogsbruksåtgärd</t>
        </is>
      </c>
      <c r="D76" s="1" t="n">
        <v>46188</v>
      </c>
      <c r="E76" s="1" t="n">
        <v>46307</v>
      </c>
      <c r="F76" t="inlineStr">
        <is>
          <t>STOCKHOLMS LÄN</t>
        </is>
      </c>
      <c r="G76" t="inlineStr">
        <is>
          <t>HANINGE</t>
        </is>
      </c>
      <c r="I76" t="n">
        <v>1.9</v>
      </c>
      <c r="J76" t="n">
        <v>0</v>
      </c>
      <c r="K76" t="n">
        <v>0</v>
      </c>
      <c r="L76" t="n">
        <v>0</v>
      </c>
      <c r="M76" t="n">
        <v>0</v>
      </c>
      <c r="N76" t="n">
        <v>0</v>
      </c>
      <c r="O76" t="n">
        <v>0</v>
      </c>
      <c r="P76" t="n">
        <v>0</v>
      </c>
      <c r="Q76" t="n">
        <v>0</v>
      </c>
      <c r="R76" t="n">
        <v>0</v>
      </c>
      <c r="S76" t="n">
        <v>0</v>
      </c>
      <c r="T76" t="n">
        <v>0</v>
      </c>
      <c r="U76" t="n">
        <v>0</v>
      </c>
      <c r="V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2026-10-12T02:04:49Z</dcterms:created>
  <dcterms:modified xmlns:dcterms="http://purl.org/dc/terms/" xmlns:xsi="http://www.w3.org/2001/XMLSchema-instance" xsi:type="dcterms:W3CDTF">2026-10-12T02:04:49Z</dcterms:modified>
</cp:coreProperties>
</file>