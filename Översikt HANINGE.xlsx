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45923</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45923</v>
      </c>
      <c r="D3" t="inlineStr">
        <is>
          <t>STOCKHOLMS LÄN</t>
        </is>
      </c>
      <c r="E3" t="inlineStr">
        <is>
          <t>HANINGE</t>
        </is>
      </c>
      <c r="G3" t="n">
        <v>19.8</v>
      </c>
      <c r="H3" t="n">
        <v>15</v>
      </c>
      <c r="I3" t="n">
        <v>18</v>
      </c>
      <c r="J3" t="n">
        <v>11</v>
      </c>
      <c r="K3" t="n">
        <v>2</v>
      </c>
      <c r="L3" t="n">
        <v>0</v>
      </c>
      <c r="M3" t="n">
        <v>0</v>
      </c>
      <c r="N3" t="n">
        <v>0</v>
      </c>
      <c r="O3" t="n">
        <v>13</v>
      </c>
      <c r="P3" t="n">
        <v>2</v>
      </c>
      <c r="Q3" t="n">
        <v>38</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45923</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45923</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45923</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45923</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45923</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45923</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53858-2020</t>
        </is>
      </c>
      <c r="B15" s="1" t="n">
        <v>44125</v>
      </c>
      <c r="C15" s="1" t="n">
        <v>45923</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24189-2025</t>
        </is>
      </c>
      <c r="B16" s="1" t="n">
        <v>45796.84584490741</v>
      </c>
      <c r="C16" s="1" t="n">
        <v>45923</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45923</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45923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45923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45923</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45923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45923</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20490-2025</t>
        </is>
      </c>
      <c r="B23" s="1" t="n">
        <v>45775.56488425926</v>
      </c>
      <c r="C23" s="1" t="n">
        <v>45923</v>
      </c>
      <c r="D23" t="inlineStr">
        <is>
          <t>STOCKHOLMS LÄN</t>
        </is>
      </c>
      <c r="E23" t="inlineStr">
        <is>
          <t>HANINGE</t>
        </is>
      </c>
      <c r="G23" t="n">
        <v>2</v>
      </c>
      <c r="H23" t="n">
        <v>1</v>
      </c>
      <c r="I23" t="n">
        <v>0</v>
      </c>
      <c r="J23" t="n">
        <v>0</v>
      </c>
      <c r="K23" t="n">
        <v>0</v>
      </c>
      <c r="L23" t="n">
        <v>0</v>
      </c>
      <c r="M23" t="n">
        <v>0</v>
      </c>
      <c r="N23" t="n">
        <v>0</v>
      </c>
      <c r="O23" t="n">
        <v>0</v>
      </c>
      <c r="P23" t="n">
        <v>0</v>
      </c>
      <c r="Q23" t="n">
        <v>1</v>
      </c>
      <c r="R23" s="2" t="inlineStr">
        <is>
          <t>Blåsippa</t>
        </is>
      </c>
      <c r="S23">
        <f>HYPERLINK("https://klasma.github.io/Logging_0136/artfynd/A 20490-2025 artfynd.xlsx", "A 20490-2025")</f>
        <v/>
      </c>
      <c r="T23">
        <f>HYPERLINK("https://klasma.github.io/Logging_0136/kartor/A 20490-2025 karta.png", "A 20490-2025")</f>
        <v/>
      </c>
      <c r="V23">
        <f>HYPERLINK("https://klasma.github.io/Logging_0136/klagomål/A 20490-2025 FSC-klagomål.docx", "A 20490-2025")</f>
        <v/>
      </c>
      <c r="W23">
        <f>HYPERLINK("https://klasma.github.io/Logging_0136/klagomålsmail/A 20490-2025 FSC-klagomål mail.docx", "A 20490-2025")</f>
        <v/>
      </c>
      <c r="X23">
        <f>HYPERLINK("https://klasma.github.io/Logging_0136/tillsyn/A 20490-2025 tillsynsbegäran.docx", "A 20490-2025")</f>
        <v/>
      </c>
      <c r="Y23">
        <f>HYPERLINK("https://klasma.github.io/Logging_0136/tillsynsmail/A 20490-2025 tillsynsbegäran mail.docx", "A 20490-2025")</f>
        <v/>
      </c>
    </row>
    <row r="24" ht="15" customHeight="1">
      <c r="A24" t="inlineStr">
        <is>
          <t>A 34823-2022</t>
        </is>
      </c>
      <c r="B24" s="1" t="n">
        <v>44796</v>
      </c>
      <c r="C24" s="1" t="n">
        <v>45923</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45923</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45923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45923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45923</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45923</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45923</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45923</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45923</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45923</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45923</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45923</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45923</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45923</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45923</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45923</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45923</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45923</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45923</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45923</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45923</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45923</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45923</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41266-2022</t>
        </is>
      </c>
      <c r="B47" s="1" t="n">
        <v>44825</v>
      </c>
      <c r="C47" s="1" t="n">
        <v>45923</v>
      </c>
      <c r="D47" t="inlineStr">
        <is>
          <t>STOCKHOLMS LÄN</t>
        </is>
      </c>
      <c r="E47" t="inlineStr">
        <is>
          <t>HANINGE</t>
        </is>
      </c>
      <c r="F47" t="inlineStr">
        <is>
          <t>Övriga statliga verk och myndigheter</t>
        </is>
      </c>
      <c r="G47" t="n">
        <v>1.6</v>
      </c>
      <c r="H47" t="n">
        <v>0</v>
      </c>
      <c r="I47" t="n">
        <v>0</v>
      </c>
      <c r="J47" t="n">
        <v>0</v>
      </c>
      <c r="K47" t="n">
        <v>0</v>
      </c>
      <c r="L47" t="n">
        <v>0</v>
      </c>
      <c r="M47" t="n">
        <v>0</v>
      </c>
      <c r="N47" t="n">
        <v>0</v>
      </c>
      <c r="O47" t="n">
        <v>0</v>
      </c>
      <c r="P47" t="n">
        <v>0</v>
      </c>
      <c r="Q47" t="n">
        <v>0</v>
      </c>
      <c r="R47" s="2" t="inlineStr"/>
    </row>
    <row r="48" ht="15" customHeight="1">
      <c r="A48" t="inlineStr">
        <is>
          <t>A 3156-2025</t>
        </is>
      </c>
      <c r="B48" s="1" t="n">
        <v>45679.32142361111</v>
      </c>
      <c r="C48" s="1" t="n">
        <v>45923</v>
      </c>
      <c r="D48" t="inlineStr">
        <is>
          <t>STOCKHOLMS LÄN</t>
        </is>
      </c>
      <c r="E48" t="inlineStr">
        <is>
          <t>HANINGE</t>
        </is>
      </c>
      <c r="G48" t="n">
        <v>3.3</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45923</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20495-2025</t>
        </is>
      </c>
      <c r="B50" s="1" t="n">
        <v>45775.57335648148</v>
      </c>
      <c r="C50" s="1" t="n">
        <v>45923</v>
      </c>
      <c r="D50" t="inlineStr">
        <is>
          <t>STOCKHOLMS LÄN</t>
        </is>
      </c>
      <c r="E50" t="inlineStr">
        <is>
          <t>HANINGE</t>
        </is>
      </c>
      <c r="G50" t="n">
        <v>6.6</v>
      </c>
      <c r="H50" t="n">
        <v>0</v>
      </c>
      <c r="I50" t="n">
        <v>0</v>
      </c>
      <c r="J50" t="n">
        <v>0</v>
      </c>
      <c r="K50" t="n">
        <v>0</v>
      </c>
      <c r="L50" t="n">
        <v>0</v>
      </c>
      <c r="M50" t="n">
        <v>0</v>
      </c>
      <c r="N50" t="n">
        <v>0</v>
      </c>
      <c r="O50" t="n">
        <v>0</v>
      </c>
      <c r="P50" t="n">
        <v>0</v>
      </c>
      <c r="Q50" t="n">
        <v>0</v>
      </c>
      <c r="R50" s="2" t="inlineStr"/>
    </row>
    <row r="51" ht="15" customHeight="1">
      <c r="A51" t="inlineStr">
        <is>
          <t>A 32948-2025</t>
        </is>
      </c>
      <c r="B51" s="1" t="n">
        <v>45839</v>
      </c>
      <c r="C51" s="1" t="n">
        <v>45923</v>
      </c>
      <c r="D51" t="inlineStr">
        <is>
          <t>STOCKHOLMS LÄN</t>
        </is>
      </c>
      <c r="E51" t="inlineStr">
        <is>
          <t>HANINGE</t>
        </is>
      </c>
      <c r="G51" t="n">
        <v>1.1</v>
      </c>
      <c r="H51" t="n">
        <v>0</v>
      </c>
      <c r="I51" t="n">
        <v>0</v>
      </c>
      <c r="J51" t="n">
        <v>0</v>
      </c>
      <c r="K51" t="n">
        <v>0</v>
      </c>
      <c r="L51" t="n">
        <v>0</v>
      </c>
      <c r="M51" t="n">
        <v>0</v>
      </c>
      <c r="N51" t="n">
        <v>0</v>
      </c>
      <c r="O51" t="n">
        <v>0</v>
      </c>
      <c r="P51" t="n">
        <v>0</v>
      </c>
      <c r="Q51" t="n">
        <v>0</v>
      </c>
      <c r="R51" s="2" t="inlineStr"/>
    </row>
    <row r="52" ht="15" customHeight="1">
      <c r="A52" t="inlineStr">
        <is>
          <t>A 64568-2023</t>
        </is>
      </c>
      <c r="B52" s="1" t="n">
        <v>45281.43164351852</v>
      </c>
      <c r="C52" s="1" t="n">
        <v>45923</v>
      </c>
      <c r="D52" t="inlineStr">
        <is>
          <t>STOCKHOLMS LÄN</t>
        </is>
      </c>
      <c r="E52" t="inlineStr">
        <is>
          <t>HANINGE</t>
        </is>
      </c>
      <c r="G52" t="n">
        <v>3.1</v>
      </c>
      <c r="H52" t="n">
        <v>0</v>
      </c>
      <c r="I52" t="n">
        <v>0</v>
      </c>
      <c r="J52" t="n">
        <v>0</v>
      </c>
      <c r="K52" t="n">
        <v>0</v>
      </c>
      <c r="L52" t="n">
        <v>0</v>
      </c>
      <c r="M52" t="n">
        <v>0</v>
      </c>
      <c r="N52" t="n">
        <v>0</v>
      </c>
      <c r="O52" t="n">
        <v>0</v>
      </c>
      <c r="P52" t="n">
        <v>0</v>
      </c>
      <c r="Q52" t="n">
        <v>0</v>
      </c>
      <c r="R52" s="2" t="inlineStr"/>
    </row>
    <row r="53" ht="15" customHeight="1">
      <c r="A53" t="inlineStr">
        <is>
          <t>A 18548-2024</t>
        </is>
      </c>
      <c r="B53" s="1" t="n">
        <v>45425.64708333334</v>
      </c>
      <c r="C53" s="1" t="n">
        <v>45923</v>
      </c>
      <c r="D53" t="inlineStr">
        <is>
          <t>STOCKHOLMS LÄN</t>
        </is>
      </c>
      <c r="E53" t="inlineStr">
        <is>
          <t>HANINGE</t>
        </is>
      </c>
      <c r="F53" t="inlineStr">
        <is>
          <t>Kommuner</t>
        </is>
      </c>
      <c r="G53" t="n">
        <v>7.3</v>
      </c>
      <c r="H53" t="n">
        <v>0</v>
      </c>
      <c r="I53" t="n">
        <v>0</v>
      </c>
      <c r="J53" t="n">
        <v>0</v>
      </c>
      <c r="K53" t="n">
        <v>0</v>
      </c>
      <c r="L53" t="n">
        <v>0</v>
      </c>
      <c r="M53" t="n">
        <v>0</v>
      </c>
      <c r="N53" t="n">
        <v>0</v>
      </c>
      <c r="O53" t="n">
        <v>0</v>
      </c>
      <c r="P53" t="n">
        <v>0</v>
      </c>
      <c r="Q53" t="n">
        <v>0</v>
      </c>
      <c r="R53" s="2" t="inlineStr"/>
    </row>
    <row r="54" ht="15" customHeight="1">
      <c r="A54" t="inlineStr">
        <is>
          <t>A 58599-2023</t>
        </is>
      </c>
      <c r="B54" s="1" t="n">
        <v>45251.47721064815</v>
      </c>
      <c r="C54" s="1" t="n">
        <v>45923</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45923</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18491-2025</t>
        </is>
      </c>
      <c r="B56" s="1" t="n">
        <v>45763.34135416667</v>
      </c>
      <c r="C56" s="1" t="n">
        <v>45923</v>
      </c>
      <c r="D56" t="inlineStr">
        <is>
          <t>STOCKHOLMS LÄN</t>
        </is>
      </c>
      <c r="E56" t="inlineStr">
        <is>
          <t>HANINGE</t>
        </is>
      </c>
      <c r="G56" t="n">
        <v>0.5</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45923</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68894-2021</t>
        </is>
      </c>
      <c r="B58" s="1" t="n">
        <v>44526</v>
      </c>
      <c r="C58" s="1" t="n">
        <v>45923</v>
      </c>
      <c r="D58" t="inlineStr">
        <is>
          <t>STOCKHOLMS LÄN</t>
        </is>
      </c>
      <c r="E58" t="inlineStr">
        <is>
          <t>HANINGE</t>
        </is>
      </c>
      <c r="G58" t="n">
        <v>1.2</v>
      </c>
      <c r="H58" t="n">
        <v>0</v>
      </c>
      <c r="I58" t="n">
        <v>0</v>
      </c>
      <c r="J58" t="n">
        <v>0</v>
      </c>
      <c r="K58" t="n">
        <v>0</v>
      </c>
      <c r="L58" t="n">
        <v>0</v>
      </c>
      <c r="M58" t="n">
        <v>0</v>
      </c>
      <c r="N58" t="n">
        <v>0</v>
      </c>
      <c r="O58" t="n">
        <v>0</v>
      </c>
      <c r="P58" t="n">
        <v>0</v>
      </c>
      <c r="Q58" t="n">
        <v>0</v>
      </c>
      <c r="R58" s="2" t="inlineStr"/>
    </row>
    <row r="59" ht="15" customHeight="1">
      <c r="A59" t="inlineStr">
        <is>
          <t>A 14264-2025</t>
        </is>
      </c>
      <c r="B59" s="1" t="n">
        <v>45740.6340162037</v>
      </c>
      <c r="C59" s="1" t="n">
        <v>45923</v>
      </c>
      <c r="D59" t="inlineStr">
        <is>
          <t>STOCKHOLMS LÄN</t>
        </is>
      </c>
      <c r="E59" t="inlineStr">
        <is>
          <t>HANINGE</t>
        </is>
      </c>
      <c r="G59" t="n">
        <v>1</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45923</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13046-2022</t>
        </is>
      </c>
      <c r="B61" s="1" t="n">
        <v>44643</v>
      </c>
      <c r="C61" s="1" t="n">
        <v>45923</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row>
    <row r="62" ht="15" customHeight="1">
      <c r="A62" t="inlineStr">
        <is>
          <t>A 8163-2024</t>
        </is>
      </c>
      <c r="B62" s="1" t="n">
        <v>45351.60337962963</v>
      </c>
      <c r="C62" s="1" t="n">
        <v>45923</v>
      </c>
      <c r="D62" t="inlineStr">
        <is>
          <t>STOCKHOLMS LÄN</t>
        </is>
      </c>
      <c r="E62" t="inlineStr">
        <is>
          <t>HANINGE</t>
        </is>
      </c>
      <c r="F62" t="inlineStr">
        <is>
          <t>Kommuner</t>
        </is>
      </c>
      <c r="G62" t="n">
        <v>3.8</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45923</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38595-2021</t>
        </is>
      </c>
      <c r="B64" s="1" t="n">
        <v>44407</v>
      </c>
      <c r="C64" s="1" t="n">
        <v>45923</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6648-2023</t>
        </is>
      </c>
      <c r="B65" s="1" t="n">
        <v>44966</v>
      </c>
      <c r="C65" s="1" t="n">
        <v>45923</v>
      </c>
      <c r="D65" t="inlineStr">
        <is>
          <t>STOCKHOLMS LÄN</t>
        </is>
      </c>
      <c r="E65" t="inlineStr">
        <is>
          <t>HANINGE</t>
        </is>
      </c>
      <c r="G65" t="n">
        <v>4</v>
      </c>
      <c r="H65" t="n">
        <v>0</v>
      </c>
      <c r="I65" t="n">
        <v>0</v>
      </c>
      <c r="J65" t="n">
        <v>0</v>
      </c>
      <c r="K65" t="n">
        <v>0</v>
      </c>
      <c r="L65" t="n">
        <v>0</v>
      </c>
      <c r="M65" t="n">
        <v>0</v>
      </c>
      <c r="N65" t="n">
        <v>0</v>
      </c>
      <c r="O65" t="n">
        <v>0</v>
      </c>
      <c r="P65" t="n">
        <v>0</v>
      </c>
      <c r="Q65" t="n">
        <v>0</v>
      </c>
      <c r="R65" s="2" t="inlineStr"/>
    </row>
    <row r="66" ht="15" customHeight="1">
      <c r="A66" t="inlineStr">
        <is>
          <t>A 8078-2024</t>
        </is>
      </c>
      <c r="B66" s="1" t="n">
        <v>45351.43737268518</v>
      </c>
      <c r="C66" s="1" t="n">
        <v>45923</v>
      </c>
      <c r="D66" t="inlineStr">
        <is>
          <t>STOCKHOLMS LÄN</t>
        </is>
      </c>
      <c r="E66" t="inlineStr">
        <is>
          <t>HANINGE</t>
        </is>
      </c>
      <c r="F66" t="inlineStr">
        <is>
          <t>Kommuner</t>
        </is>
      </c>
      <c r="G66" t="n">
        <v>1.4</v>
      </c>
      <c r="H66" t="n">
        <v>0</v>
      </c>
      <c r="I66" t="n">
        <v>0</v>
      </c>
      <c r="J66" t="n">
        <v>0</v>
      </c>
      <c r="K66" t="n">
        <v>0</v>
      </c>
      <c r="L66" t="n">
        <v>0</v>
      </c>
      <c r="M66" t="n">
        <v>0</v>
      </c>
      <c r="N66" t="n">
        <v>0</v>
      </c>
      <c r="O66" t="n">
        <v>0</v>
      </c>
      <c r="P66" t="n">
        <v>0</v>
      </c>
      <c r="Q66" t="n">
        <v>0</v>
      </c>
      <c r="R66" s="2" t="inlineStr"/>
    </row>
    <row r="67" ht="15" customHeight="1">
      <c r="A67" t="inlineStr">
        <is>
          <t>A 24873-2023</t>
        </is>
      </c>
      <c r="B67" s="1" t="n">
        <v>45085</v>
      </c>
      <c r="C67" s="1" t="n">
        <v>45923</v>
      </c>
      <c r="D67" t="inlineStr">
        <is>
          <t>STOCKHOLMS LÄN</t>
        </is>
      </c>
      <c r="E67" t="inlineStr">
        <is>
          <t>HANINGE</t>
        </is>
      </c>
      <c r="G67" t="n">
        <v>1.9</v>
      </c>
      <c r="H67" t="n">
        <v>0</v>
      </c>
      <c r="I67" t="n">
        <v>0</v>
      </c>
      <c r="J67" t="n">
        <v>0</v>
      </c>
      <c r="K67" t="n">
        <v>0</v>
      </c>
      <c r="L67" t="n">
        <v>0</v>
      </c>
      <c r="M67" t="n">
        <v>0</v>
      </c>
      <c r="N67" t="n">
        <v>0</v>
      </c>
      <c r="O67" t="n">
        <v>0</v>
      </c>
      <c r="P67" t="n">
        <v>0</v>
      </c>
      <c r="Q67" t="n">
        <v>0</v>
      </c>
      <c r="R67" s="2" t="inlineStr"/>
    </row>
    <row r="68" ht="15" customHeight="1">
      <c r="A68" t="inlineStr">
        <is>
          <t>A 52773-2024</t>
        </is>
      </c>
      <c r="B68" s="1" t="n">
        <v>45610.53207175926</v>
      </c>
      <c r="C68" s="1" t="n">
        <v>45923</v>
      </c>
      <c r="D68" t="inlineStr">
        <is>
          <t>STOCKHOLMS LÄN</t>
        </is>
      </c>
      <c r="E68" t="inlineStr">
        <is>
          <t>HANINGE</t>
        </is>
      </c>
      <c r="G68" t="n">
        <v>0.7</v>
      </c>
      <c r="H68" t="n">
        <v>0</v>
      </c>
      <c r="I68" t="n">
        <v>0</v>
      </c>
      <c r="J68" t="n">
        <v>0</v>
      </c>
      <c r="K68" t="n">
        <v>0</v>
      </c>
      <c r="L68" t="n">
        <v>0</v>
      </c>
      <c r="M68" t="n">
        <v>0</v>
      </c>
      <c r="N68" t="n">
        <v>0</v>
      </c>
      <c r="O68" t="n">
        <v>0</v>
      </c>
      <c r="P68" t="n">
        <v>0</v>
      </c>
      <c r="Q68" t="n">
        <v>0</v>
      </c>
      <c r="R68" s="2" t="inlineStr"/>
    </row>
    <row r="69" ht="15" customHeight="1">
      <c r="A69" t="inlineStr">
        <is>
          <t>A 50306-2023</t>
        </is>
      </c>
      <c r="B69" s="1" t="n">
        <v>45209</v>
      </c>
      <c r="C69" s="1" t="n">
        <v>45923</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c r="U69">
        <f>HYPERLINK("https://klasma.github.io/Logging_0136/knärot/A 50306-2023 karta knärot.png", "A 50306-2023")</f>
        <v/>
      </c>
      <c r="V69">
        <f>HYPERLINK("https://klasma.github.io/Logging_0136/klagomål/A 50306-2023 FSC-klagomål.docx", "A 50306-2023")</f>
        <v/>
      </c>
      <c r="W69">
        <f>HYPERLINK("https://klasma.github.io/Logging_0136/klagomålsmail/A 50306-2023 FSC-klagomål mail.docx", "A 50306-2023")</f>
        <v/>
      </c>
      <c r="X69">
        <f>HYPERLINK("https://klasma.github.io/Logging_0136/tillsyn/A 50306-2023 tillsynsbegäran.docx", "A 50306-2023")</f>
        <v/>
      </c>
      <c r="Y69">
        <f>HYPERLINK("https://klasma.github.io/Logging_0136/tillsynsmail/A 50306-2023 tillsynsbegäran mail.docx", "A 50306-2023")</f>
        <v/>
      </c>
    </row>
    <row r="70" ht="15" customHeight="1">
      <c r="A70" t="inlineStr">
        <is>
          <t>A 23666-2024</t>
        </is>
      </c>
      <c r="B70" s="1" t="n">
        <v>45454.57909722222</v>
      </c>
      <c r="C70" s="1" t="n">
        <v>45923</v>
      </c>
      <c r="D70" t="inlineStr">
        <is>
          <t>STOCKHOLMS LÄN</t>
        </is>
      </c>
      <c r="E70" t="inlineStr">
        <is>
          <t>HANINGE</t>
        </is>
      </c>
      <c r="G70" t="n">
        <v>0.8</v>
      </c>
      <c r="H70" t="n">
        <v>0</v>
      </c>
      <c r="I70" t="n">
        <v>0</v>
      </c>
      <c r="J70" t="n">
        <v>0</v>
      </c>
      <c r="K70" t="n">
        <v>0</v>
      </c>
      <c r="L70" t="n">
        <v>0</v>
      </c>
      <c r="M70" t="n">
        <v>0</v>
      </c>
      <c r="N70" t="n">
        <v>0</v>
      </c>
      <c r="O70" t="n">
        <v>0</v>
      </c>
      <c r="P70" t="n">
        <v>0</v>
      </c>
      <c r="Q70" t="n">
        <v>0</v>
      </c>
      <c r="R70" s="2" t="inlineStr"/>
    </row>
    <row r="71" ht="15" customHeight="1">
      <c r="A71" t="inlineStr">
        <is>
          <t>A 9946-2024</t>
        </is>
      </c>
      <c r="B71" s="1" t="n">
        <v>45363.59789351852</v>
      </c>
      <c r="C71" s="1" t="n">
        <v>45923</v>
      </c>
      <c r="D71" t="inlineStr">
        <is>
          <t>STOCKHOLMS LÄN</t>
        </is>
      </c>
      <c r="E71" t="inlineStr">
        <is>
          <t>HANINGE</t>
        </is>
      </c>
      <c r="G71" t="n">
        <v>3.8</v>
      </c>
      <c r="H71" t="n">
        <v>0</v>
      </c>
      <c r="I71" t="n">
        <v>0</v>
      </c>
      <c r="J71" t="n">
        <v>0</v>
      </c>
      <c r="K71" t="n">
        <v>0</v>
      </c>
      <c r="L71" t="n">
        <v>0</v>
      </c>
      <c r="M71" t="n">
        <v>0</v>
      </c>
      <c r="N71" t="n">
        <v>0</v>
      </c>
      <c r="O71" t="n">
        <v>0</v>
      </c>
      <c r="P71" t="n">
        <v>0</v>
      </c>
      <c r="Q71" t="n">
        <v>0</v>
      </c>
      <c r="R71" s="2" t="inlineStr"/>
    </row>
    <row r="72" ht="15" customHeight="1">
      <c r="A72" t="inlineStr">
        <is>
          <t>A 22288-2023</t>
        </is>
      </c>
      <c r="B72" s="1" t="n">
        <v>45070</v>
      </c>
      <c r="C72" s="1" t="n">
        <v>45923</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45923</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45923</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52770-2024</t>
        </is>
      </c>
      <c r="B75" s="1" t="n">
        <v>45610.52414351852</v>
      </c>
      <c r="C75" s="1" t="n">
        <v>45923</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52836-2024</t>
        </is>
      </c>
      <c r="B76" s="1" t="n">
        <v>45610.59637731482</v>
      </c>
      <c r="C76" s="1" t="n">
        <v>45923</v>
      </c>
      <c r="D76" t="inlineStr">
        <is>
          <t>STOCKHOLMS LÄN</t>
        </is>
      </c>
      <c r="E76" t="inlineStr">
        <is>
          <t>HANINGE</t>
        </is>
      </c>
      <c r="G76" t="n">
        <v>1</v>
      </c>
      <c r="H76" t="n">
        <v>0</v>
      </c>
      <c r="I76" t="n">
        <v>0</v>
      </c>
      <c r="J76" t="n">
        <v>0</v>
      </c>
      <c r="K76" t="n">
        <v>0</v>
      </c>
      <c r="L76" t="n">
        <v>0</v>
      </c>
      <c r="M76" t="n">
        <v>0</v>
      </c>
      <c r="N76" t="n">
        <v>0</v>
      </c>
      <c r="O76" t="n">
        <v>0</v>
      </c>
      <c r="P76" t="n">
        <v>0</v>
      </c>
      <c r="Q76" t="n">
        <v>0</v>
      </c>
      <c r="R76" s="2" t="inlineStr"/>
    </row>
    <row r="77" ht="15" customHeight="1">
      <c r="A77" t="inlineStr">
        <is>
          <t>A 18512-2024</t>
        </is>
      </c>
      <c r="B77" s="1" t="n">
        <v>45425.59938657407</v>
      </c>
      <c r="C77" s="1" t="n">
        <v>45923</v>
      </c>
      <c r="D77" t="inlineStr">
        <is>
          <t>STOCKHOLMS LÄN</t>
        </is>
      </c>
      <c r="E77" t="inlineStr">
        <is>
          <t>HANINGE</t>
        </is>
      </c>
      <c r="F77" t="inlineStr">
        <is>
          <t>Kommuner</t>
        </is>
      </c>
      <c r="G77" t="n">
        <v>0.7</v>
      </c>
      <c r="H77" t="n">
        <v>0</v>
      </c>
      <c r="I77" t="n">
        <v>0</v>
      </c>
      <c r="J77" t="n">
        <v>0</v>
      </c>
      <c r="K77" t="n">
        <v>0</v>
      </c>
      <c r="L77" t="n">
        <v>0</v>
      </c>
      <c r="M77" t="n">
        <v>0</v>
      </c>
      <c r="N77" t="n">
        <v>0</v>
      </c>
      <c r="O77" t="n">
        <v>0</v>
      </c>
      <c r="P77" t="n">
        <v>0</v>
      </c>
      <c r="Q77" t="n">
        <v>0</v>
      </c>
      <c r="R77" s="2" t="inlineStr"/>
    </row>
    <row r="78" ht="15" customHeight="1">
      <c r="A78" t="inlineStr">
        <is>
          <t>A 4297-2024</t>
        </is>
      </c>
      <c r="B78" s="1" t="n">
        <v>45324.62291666667</v>
      </c>
      <c r="C78" s="1" t="n">
        <v>45923</v>
      </c>
      <c r="D78" t="inlineStr">
        <is>
          <t>STOCKHOLMS LÄN</t>
        </is>
      </c>
      <c r="E78" t="inlineStr">
        <is>
          <t>HANINGE</t>
        </is>
      </c>
      <c r="F78" t="inlineStr">
        <is>
          <t>Kommuner</t>
        </is>
      </c>
      <c r="G78" t="n">
        <v>0.4</v>
      </c>
      <c r="H78" t="n">
        <v>0</v>
      </c>
      <c r="I78" t="n">
        <v>0</v>
      </c>
      <c r="J78" t="n">
        <v>0</v>
      </c>
      <c r="K78" t="n">
        <v>0</v>
      </c>
      <c r="L78" t="n">
        <v>0</v>
      </c>
      <c r="M78" t="n">
        <v>0</v>
      </c>
      <c r="N78" t="n">
        <v>0</v>
      </c>
      <c r="O78" t="n">
        <v>0</v>
      </c>
      <c r="P78" t="n">
        <v>0</v>
      </c>
      <c r="Q78" t="n">
        <v>0</v>
      </c>
      <c r="R78" s="2" t="inlineStr"/>
    </row>
    <row r="79" ht="15" customHeight="1">
      <c r="A79" t="inlineStr">
        <is>
          <t>A 5474-2024</t>
        </is>
      </c>
      <c r="B79" s="1" t="n">
        <v>45333.51131944444</v>
      </c>
      <c r="C79" s="1" t="n">
        <v>45923</v>
      </c>
      <c r="D79" t="inlineStr">
        <is>
          <t>STOCKHOLMS LÄN</t>
        </is>
      </c>
      <c r="E79" t="inlineStr">
        <is>
          <t>HANINGE</t>
        </is>
      </c>
      <c r="F79" t="inlineStr">
        <is>
          <t>Kommuner</t>
        </is>
      </c>
      <c r="G79" t="n">
        <v>0.9</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45923</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1703-2023</t>
        </is>
      </c>
      <c r="B81" s="1" t="n">
        <v>44938.44412037037</v>
      </c>
      <c r="C81" s="1" t="n">
        <v>45923</v>
      </c>
      <c r="D81" t="inlineStr">
        <is>
          <t>STOCKHOLMS LÄN</t>
        </is>
      </c>
      <c r="E81" t="inlineStr">
        <is>
          <t>HANINGE</t>
        </is>
      </c>
      <c r="G81" t="n">
        <v>1.8</v>
      </c>
      <c r="H81" t="n">
        <v>0</v>
      </c>
      <c r="I81" t="n">
        <v>0</v>
      </c>
      <c r="J81" t="n">
        <v>0</v>
      </c>
      <c r="K81" t="n">
        <v>0</v>
      </c>
      <c r="L81" t="n">
        <v>0</v>
      </c>
      <c r="M81" t="n">
        <v>0</v>
      </c>
      <c r="N81" t="n">
        <v>0</v>
      </c>
      <c r="O81" t="n">
        <v>0</v>
      </c>
      <c r="P81" t="n">
        <v>0</v>
      </c>
      <c r="Q81" t="n">
        <v>0</v>
      </c>
      <c r="R81" s="2" t="inlineStr"/>
    </row>
    <row r="82" ht="15" customHeight="1">
      <c r="A82" t="inlineStr">
        <is>
          <t>A 21231-2025</t>
        </is>
      </c>
      <c r="B82" s="1" t="n">
        <v>45779.54644675926</v>
      </c>
      <c r="C82" s="1" t="n">
        <v>45923</v>
      </c>
      <c r="D82" t="inlineStr">
        <is>
          <t>STOCKHOLMS LÄN</t>
        </is>
      </c>
      <c r="E82" t="inlineStr">
        <is>
          <t>HANINGE</t>
        </is>
      </c>
      <c r="G82" t="n">
        <v>4.3</v>
      </c>
      <c r="H82" t="n">
        <v>0</v>
      </c>
      <c r="I82" t="n">
        <v>0</v>
      </c>
      <c r="J82" t="n">
        <v>0</v>
      </c>
      <c r="K82" t="n">
        <v>0</v>
      </c>
      <c r="L82" t="n">
        <v>0</v>
      </c>
      <c r="M82" t="n">
        <v>0</v>
      </c>
      <c r="N82" t="n">
        <v>0</v>
      </c>
      <c r="O82" t="n">
        <v>0</v>
      </c>
      <c r="P82" t="n">
        <v>0</v>
      </c>
      <c r="Q82" t="n">
        <v>0</v>
      </c>
      <c r="R82" s="2" t="inlineStr"/>
    </row>
    <row r="83" ht="15" customHeight="1">
      <c r="A83" t="inlineStr">
        <is>
          <t>A 17765-2024</t>
        </is>
      </c>
      <c r="B83" s="1" t="n">
        <v>45418.63149305555</v>
      </c>
      <c r="C83" s="1" t="n">
        <v>45923</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45923</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7328-2025</t>
        </is>
      </c>
      <c r="B85" s="1" t="n">
        <v>45703.29252314815</v>
      </c>
      <c r="C85" s="1" t="n">
        <v>45923</v>
      </c>
      <c r="D85" t="inlineStr">
        <is>
          <t>STOCKHOLMS LÄN</t>
        </is>
      </c>
      <c r="E85" t="inlineStr">
        <is>
          <t>HANINGE</t>
        </is>
      </c>
      <c r="G85" t="n">
        <v>2.5</v>
      </c>
      <c r="H85" t="n">
        <v>0</v>
      </c>
      <c r="I85" t="n">
        <v>0</v>
      </c>
      <c r="J85" t="n">
        <v>0</v>
      </c>
      <c r="K85" t="n">
        <v>0</v>
      </c>
      <c r="L85" t="n">
        <v>0</v>
      </c>
      <c r="M85" t="n">
        <v>0</v>
      </c>
      <c r="N85" t="n">
        <v>0</v>
      </c>
      <c r="O85" t="n">
        <v>0</v>
      </c>
      <c r="P85" t="n">
        <v>0</v>
      </c>
      <c r="Q85" t="n">
        <v>0</v>
      </c>
      <c r="R85" s="2" t="inlineStr"/>
    </row>
    <row r="86" ht="15" customHeight="1">
      <c r="A86" t="inlineStr">
        <is>
          <t>A 24115-2025</t>
        </is>
      </c>
      <c r="B86" s="1" t="n">
        <v>45796.61494212963</v>
      </c>
      <c r="C86" s="1" t="n">
        <v>45923</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24191-2025</t>
        </is>
      </c>
      <c r="B87" s="1" t="n">
        <v>45796.86738425926</v>
      </c>
      <c r="C87" s="1" t="n">
        <v>45923</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24193-2025</t>
        </is>
      </c>
      <c r="B88" s="1" t="n">
        <v>45796.89591435185</v>
      </c>
      <c r="C88" s="1" t="n">
        <v>45923</v>
      </c>
      <c r="D88" t="inlineStr">
        <is>
          <t>STOCKHOLMS LÄN</t>
        </is>
      </c>
      <c r="E88" t="inlineStr">
        <is>
          <t>HANINGE</t>
        </is>
      </c>
      <c r="G88" t="n">
        <v>0.4</v>
      </c>
      <c r="H88" t="n">
        <v>0</v>
      </c>
      <c r="I88" t="n">
        <v>0</v>
      </c>
      <c r="J88" t="n">
        <v>0</v>
      </c>
      <c r="K88" t="n">
        <v>0</v>
      </c>
      <c r="L88" t="n">
        <v>0</v>
      </c>
      <c r="M88" t="n">
        <v>0</v>
      </c>
      <c r="N88" t="n">
        <v>0</v>
      </c>
      <c r="O88" t="n">
        <v>0</v>
      </c>
      <c r="P88" t="n">
        <v>0</v>
      </c>
      <c r="Q88" t="n">
        <v>0</v>
      </c>
      <c r="R88" s="2" t="inlineStr"/>
    </row>
    <row r="89" ht="15" customHeight="1">
      <c r="A89" t="inlineStr">
        <is>
          <t>A 64075-2023</t>
        </is>
      </c>
      <c r="B89" s="1" t="n">
        <v>45279</v>
      </c>
      <c r="C89" s="1" t="n">
        <v>45923</v>
      </c>
      <c r="D89" t="inlineStr">
        <is>
          <t>STOCKHOLMS LÄN</t>
        </is>
      </c>
      <c r="E89" t="inlineStr">
        <is>
          <t>HANINGE</t>
        </is>
      </c>
      <c r="G89" t="n">
        <v>2.6</v>
      </c>
      <c r="H89" t="n">
        <v>0</v>
      </c>
      <c r="I89" t="n">
        <v>0</v>
      </c>
      <c r="J89" t="n">
        <v>0</v>
      </c>
      <c r="K89" t="n">
        <v>0</v>
      </c>
      <c r="L89" t="n">
        <v>0</v>
      </c>
      <c r="M89" t="n">
        <v>0</v>
      </c>
      <c r="N89" t="n">
        <v>0</v>
      </c>
      <c r="O89" t="n">
        <v>0</v>
      </c>
      <c r="P89" t="n">
        <v>0</v>
      </c>
      <c r="Q89" t="n">
        <v>0</v>
      </c>
      <c r="R89" s="2" t="inlineStr"/>
    </row>
    <row r="90" ht="15" customHeight="1">
      <c r="A90" t="inlineStr">
        <is>
          <t>A 20527-2025</t>
        </is>
      </c>
      <c r="B90" s="1" t="n">
        <v>45775.60663194444</v>
      </c>
      <c r="C90" s="1" t="n">
        <v>45923</v>
      </c>
      <c r="D90" t="inlineStr">
        <is>
          <t>STOCKHOLMS LÄN</t>
        </is>
      </c>
      <c r="E90" t="inlineStr">
        <is>
          <t>HANINGE</t>
        </is>
      </c>
      <c r="G90" t="n">
        <v>2.1</v>
      </c>
      <c r="H90" t="n">
        <v>0</v>
      </c>
      <c r="I90" t="n">
        <v>0</v>
      </c>
      <c r="J90" t="n">
        <v>0</v>
      </c>
      <c r="K90" t="n">
        <v>0</v>
      </c>
      <c r="L90" t="n">
        <v>0</v>
      </c>
      <c r="M90" t="n">
        <v>0</v>
      </c>
      <c r="N90" t="n">
        <v>0</v>
      </c>
      <c r="O90" t="n">
        <v>0</v>
      </c>
      <c r="P90" t="n">
        <v>0</v>
      </c>
      <c r="Q90" t="n">
        <v>0</v>
      </c>
      <c r="R90" s="2" t="inlineStr"/>
    </row>
    <row r="91" ht="15" customHeight="1">
      <c r="A91" t="inlineStr">
        <is>
          <t>A 64548-2020</t>
        </is>
      </c>
      <c r="B91" s="1" t="n">
        <v>44166</v>
      </c>
      <c r="C91" s="1" t="n">
        <v>45923</v>
      </c>
      <c r="D91" t="inlineStr">
        <is>
          <t>STOCKHOLMS LÄN</t>
        </is>
      </c>
      <c r="E91" t="inlineStr">
        <is>
          <t>HANINGE</t>
        </is>
      </c>
      <c r="G91" t="n">
        <v>7.2</v>
      </c>
      <c r="H91" t="n">
        <v>0</v>
      </c>
      <c r="I91" t="n">
        <v>0</v>
      </c>
      <c r="J91" t="n">
        <v>0</v>
      </c>
      <c r="K91" t="n">
        <v>0</v>
      </c>
      <c r="L91" t="n">
        <v>0</v>
      </c>
      <c r="M91" t="n">
        <v>0</v>
      </c>
      <c r="N91" t="n">
        <v>0</v>
      </c>
      <c r="O91" t="n">
        <v>0</v>
      </c>
      <c r="P91" t="n">
        <v>0</v>
      </c>
      <c r="Q91" t="n">
        <v>0</v>
      </c>
      <c r="R91" s="2" t="inlineStr"/>
    </row>
    <row r="92" ht="15" customHeight="1">
      <c r="A92" t="inlineStr">
        <is>
          <t>A 27596-2025</t>
        </is>
      </c>
      <c r="B92" s="1" t="n">
        <v>45813.52303240741</v>
      </c>
      <c r="C92" s="1" t="n">
        <v>45923</v>
      </c>
      <c r="D92" t="inlineStr">
        <is>
          <t>STOCKHOLMS LÄN</t>
        </is>
      </c>
      <c r="E92" t="inlineStr">
        <is>
          <t>HANINGE</t>
        </is>
      </c>
      <c r="G92" t="n">
        <v>0.1</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45923</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1180-2024</t>
        </is>
      </c>
      <c r="B94" s="1" t="n">
        <v>45302</v>
      </c>
      <c r="C94" s="1" t="n">
        <v>45923</v>
      </c>
      <c r="D94" t="inlineStr">
        <is>
          <t>STOCKHOLMS LÄN</t>
        </is>
      </c>
      <c r="E94" t="inlineStr">
        <is>
          <t>HANINGE</t>
        </is>
      </c>
      <c r="G94" t="n">
        <v>2</v>
      </c>
      <c r="H94" t="n">
        <v>0</v>
      </c>
      <c r="I94" t="n">
        <v>0</v>
      </c>
      <c r="J94" t="n">
        <v>0</v>
      </c>
      <c r="K94" t="n">
        <v>0</v>
      </c>
      <c r="L94" t="n">
        <v>0</v>
      </c>
      <c r="M94" t="n">
        <v>0</v>
      </c>
      <c r="N94" t="n">
        <v>0</v>
      </c>
      <c r="O94" t="n">
        <v>0</v>
      </c>
      <c r="P94" t="n">
        <v>0</v>
      </c>
      <c r="Q94" t="n">
        <v>0</v>
      </c>
      <c r="R94" s="2" t="inlineStr"/>
    </row>
    <row r="95" ht="15" customHeight="1">
      <c r="A95" t="inlineStr">
        <is>
          <t>A 1184-2024</t>
        </is>
      </c>
      <c r="B95" s="1" t="n">
        <v>45302.57663194444</v>
      </c>
      <c r="C95" s="1" t="n">
        <v>45923</v>
      </c>
      <c r="D95" t="inlineStr">
        <is>
          <t>STOCKHOLMS LÄN</t>
        </is>
      </c>
      <c r="E95" t="inlineStr">
        <is>
          <t>HANINGE</t>
        </is>
      </c>
      <c r="G95" t="n">
        <v>3.6</v>
      </c>
      <c r="H95" t="n">
        <v>0</v>
      </c>
      <c r="I95" t="n">
        <v>0</v>
      </c>
      <c r="J95" t="n">
        <v>0</v>
      </c>
      <c r="K95" t="n">
        <v>0</v>
      </c>
      <c r="L95" t="n">
        <v>0</v>
      </c>
      <c r="M95" t="n">
        <v>0</v>
      </c>
      <c r="N95" t="n">
        <v>0</v>
      </c>
      <c r="O95" t="n">
        <v>0</v>
      </c>
      <c r="P95" t="n">
        <v>0</v>
      </c>
      <c r="Q95" t="n">
        <v>0</v>
      </c>
      <c r="R95" s="2" t="inlineStr"/>
    </row>
    <row r="96" ht="15" customHeight="1">
      <c r="A96" t="inlineStr">
        <is>
          <t>A 19220-2023</t>
        </is>
      </c>
      <c r="B96" s="1" t="n">
        <v>45048</v>
      </c>
      <c r="C96" s="1" t="n">
        <v>45923</v>
      </c>
      <c r="D96" t="inlineStr">
        <is>
          <t>STOCKHOLMS LÄN</t>
        </is>
      </c>
      <c r="E96" t="inlineStr">
        <is>
          <t>HANINGE</t>
        </is>
      </c>
      <c r="G96" t="n">
        <v>1.4</v>
      </c>
      <c r="H96" t="n">
        <v>0</v>
      </c>
      <c r="I96" t="n">
        <v>0</v>
      </c>
      <c r="J96" t="n">
        <v>0</v>
      </c>
      <c r="K96" t="n">
        <v>0</v>
      </c>
      <c r="L96" t="n">
        <v>0</v>
      </c>
      <c r="M96" t="n">
        <v>0</v>
      </c>
      <c r="N96" t="n">
        <v>0</v>
      </c>
      <c r="O96" t="n">
        <v>0</v>
      </c>
      <c r="P96" t="n">
        <v>0</v>
      </c>
      <c r="Q96" t="n">
        <v>0</v>
      </c>
      <c r="R96" s="2" t="inlineStr"/>
    </row>
    <row r="97" ht="15" customHeight="1">
      <c r="A97" t="inlineStr">
        <is>
          <t>A 18490-2025</t>
        </is>
      </c>
      <c r="B97" s="1" t="n">
        <v>45763</v>
      </c>
      <c r="C97" s="1" t="n">
        <v>45923</v>
      </c>
      <c r="D97" t="inlineStr">
        <is>
          <t>STOCKHOLMS LÄN</t>
        </is>
      </c>
      <c r="E97" t="inlineStr">
        <is>
          <t>HANINGE</t>
        </is>
      </c>
      <c r="G97" t="n">
        <v>3</v>
      </c>
      <c r="H97" t="n">
        <v>0</v>
      </c>
      <c r="I97" t="n">
        <v>0</v>
      </c>
      <c r="J97" t="n">
        <v>0</v>
      </c>
      <c r="K97" t="n">
        <v>0</v>
      </c>
      <c r="L97" t="n">
        <v>0</v>
      </c>
      <c r="M97" t="n">
        <v>0</v>
      </c>
      <c r="N97" t="n">
        <v>0</v>
      </c>
      <c r="O97" t="n">
        <v>0</v>
      </c>
      <c r="P97" t="n">
        <v>0</v>
      </c>
      <c r="Q97" t="n">
        <v>0</v>
      </c>
      <c r="R97" s="2" t="inlineStr"/>
    </row>
    <row r="98" ht="15" customHeight="1">
      <c r="A98" t="inlineStr">
        <is>
          <t>A 32952-2025</t>
        </is>
      </c>
      <c r="B98" s="1" t="n">
        <v>45839.69278935185</v>
      </c>
      <c r="C98" s="1" t="n">
        <v>45923</v>
      </c>
      <c r="D98" t="inlineStr">
        <is>
          <t>STOCKHOLMS LÄN</t>
        </is>
      </c>
      <c r="E98" t="inlineStr">
        <is>
          <t>HANINGE</t>
        </is>
      </c>
      <c r="G98" t="n">
        <v>1.3</v>
      </c>
      <c r="H98" t="n">
        <v>0</v>
      </c>
      <c r="I98" t="n">
        <v>0</v>
      </c>
      <c r="J98" t="n">
        <v>0</v>
      </c>
      <c r="K98" t="n">
        <v>0</v>
      </c>
      <c r="L98" t="n">
        <v>0</v>
      </c>
      <c r="M98" t="n">
        <v>0</v>
      </c>
      <c r="N98" t="n">
        <v>0</v>
      </c>
      <c r="O98" t="n">
        <v>0</v>
      </c>
      <c r="P98" t="n">
        <v>0</v>
      </c>
      <c r="Q98" t="n">
        <v>0</v>
      </c>
      <c r="R98" s="2" t="inlineStr"/>
    </row>
    <row r="99" ht="15" customHeight="1">
      <c r="A99" t="inlineStr">
        <is>
          <t>A 32954-2025</t>
        </is>
      </c>
      <c r="B99" s="1" t="n">
        <v>45839.70034722222</v>
      </c>
      <c r="C99" s="1" t="n">
        <v>45923</v>
      </c>
      <c r="D99" t="inlineStr">
        <is>
          <t>STOCKHOLMS LÄN</t>
        </is>
      </c>
      <c r="E99" t="inlineStr">
        <is>
          <t>HANINGE</t>
        </is>
      </c>
      <c r="G99" t="n">
        <v>1.6</v>
      </c>
      <c r="H99" t="n">
        <v>0</v>
      </c>
      <c r="I99" t="n">
        <v>0</v>
      </c>
      <c r="J99" t="n">
        <v>0</v>
      </c>
      <c r="K99" t="n">
        <v>0</v>
      </c>
      <c r="L99" t="n">
        <v>0</v>
      </c>
      <c r="M99" t="n">
        <v>0</v>
      </c>
      <c r="N99" t="n">
        <v>0</v>
      </c>
      <c r="O99" t="n">
        <v>0</v>
      </c>
      <c r="P99" t="n">
        <v>0</v>
      </c>
      <c r="Q99" t="n">
        <v>0</v>
      </c>
      <c r="R99" s="2" t="inlineStr"/>
    </row>
    <row r="100">
      <c r="A100" t="inlineStr">
        <is>
          <t>A 38880-2025</t>
        </is>
      </c>
      <c r="B100" s="1" t="n">
        <v>45887.57966435186</v>
      </c>
      <c r="C100" s="1" t="n">
        <v>45923</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2025-09-23T10:18:20Z</dcterms:created>
  <dcterms:modified xmlns:dcterms="http://purl.org/dc/terms/" xmlns:xsi="http://www.w3.org/2001/XMLSchema-instance" xsi:type="dcterms:W3CDTF">2025-09-23T10:18:20Z</dcterms:modified>
</cp:coreProperties>
</file>