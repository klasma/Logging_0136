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46318</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46318</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46318</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46318</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46318</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46318</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46318</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46318</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46318</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46318</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46318</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46318</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46318</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46318</v>
      </c>
      <c r="F17" t="inlineStr">
        <is>
          <t>STOCKHOLMS LÄN</t>
        </is>
      </c>
      <c r="G17" t="inlineStr">
        <is>
          <t>HANINGE</t>
        </is>
      </c>
      <c r="I17" t="n">
        <v>1.3</v>
      </c>
      <c r="J17" t="n">
        <v>1</v>
      </c>
      <c r="K17" t="n">
        <v>1</v>
      </c>
      <c r="L17" t="n">
        <v>3</v>
      </c>
      <c r="M17" t="n">
        <v>0</v>
      </c>
      <c r="N17" t="n">
        <v>0</v>
      </c>
      <c r="O17" t="n">
        <v>0</v>
      </c>
      <c r="P17" t="n">
        <v>0</v>
      </c>
      <c r="Q17" t="n">
        <v>3</v>
      </c>
      <c r="R17" t="n">
        <v>0</v>
      </c>
      <c r="S17" t="n">
        <v>5</v>
      </c>
      <c r="T17" t="n">
        <v>5</v>
      </c>
      <c r="U17" t="n">
        <v>4</v>
      </c>
      <c r="V17" s="2" t="inlineStr">
        <is>
          <t>Motaggsvamp
Skogshare
Tallticka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46318</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46318</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46318</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46318</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46318</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46318</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32479-2026</t>
        </is>
      </c>
      <c r="B24" t="inlineStr">
        <is>
          <t>avverkningsanmälan</t>
        </is>
      </c>
      <c r="C24" t="inlineStr">
        <is>
          <t>Föryngringsavverkning</t>
        </is>
      </c>
      <c r="D24" s="1" t="n">
        <v>46239</v>
      </c>
      <c r="E24" s="1" t="n">
        <v>46318</v>
      </c>
      <c r="F24" t="inlineStr">
        <is>
          <t>STOCKHOLMS LÄN</t>
        </is>
      </c>
      <c r="G24" t="inlineStr">
        <is>
          <t>HANINGE</t>
        </is>
      </c>
      <c r="I24" t="n">
        <v>6.9</v>
      </c>
      <c r="J24" t="n">
        <v>0</v>
      </c>
      <c r="K24" t="n">
        <v>1</v>
      </c>
      <c r="L24" t="n">
        <v>0</v>
      </c>
      <c r="M24" t="n">
        <v>0</v>
      </c>
      <c r="N24" t="n">
        <v>0</v>
      </c>
      <c r="O24" t="n">
        <v>0</v>
      </c>
      <c r="P24" t="n">
        <v>0</v>
      </c>
      <c r="Q24" t="n">
        <v>0</v>
      </c>
      <c r="R24" t="n">
        <v>0</v>
      </c>
      <c r="S24" t="n">
        <v>1</v>
      </c>
      <c r="T24" t="n">
        <v>1</v>
      </c>
      <c r="U24" t="n">
        <v>0</v>
      </c>
      <c r="V24" s="2" t="inlineStr">
        <is>
          <t>Kambräken</t>
        </is>
      </c>
      <c r="W24">
        <f>HYPERLINK("https://klasma.github.io/Logging_0136/artfynd/A 32479-2026 artfynd.xlsx", "A 32479-2026")</f>
        <v/>
      </c>
      <c r="X24">
        <f>HYPERLINK("https://klasma.github.io/Logging_0136/kartor/A 32479-2026 karta.png", "A 32479-2026")</f>
        <v/>
      </c>
      <c r="Y24">
        <f>HYPERLINK("https://klasma.github.io/Logging_0136/kartor_geotiff/A 32479-2026 georefererad karta.tif", "A 32479-2026")</f>
        <v/>
      </c>
      <c r="AA24">
        <f>HYPERLINK("https://klasma.github.io/Logging_0136/klagomål/A 32479-2026 FSC-klagomål.docx", "A 32479-2026")</f>
        <v/>
      </c>
      <c r="AB24">
        <f>HYPERLINK("https://klasma.github.io/Logging_0136/klagomålsmail/A 32479-2026 FSC-klagomål mail.docx", "A 32479-2026")</f>
        <v/>
      </c>
      <c r="AC24">
        <f>HYPERLINK("https://klasma.github.io/Logging_0136/tillsyn/A 32479-2026 tillsynsbegäran.docx", "A 32479-2026")</f>
        <v/>
      </c>
      <c r="AD24">
        <f>HYPERLINK("https://klasma.github.io/Logging_0136/tillsynsmail/A 32479-2026 tillsynsbegäran mail.docx", "A 32479-2026")</f>
        <v/>
      </c>
    </row>
    <row r="25" ht="15" customHeight="1">
      <c r="A25" t="inlineStr">
        <is>
          <t>A 34823-2022</t>
        </is>
      </c>
      <c r="B25" t="inlineStr">
        <is>
          <t>avverkningsanmälan</t>
        </is>
      </c>
      <c r="C25" t="inlineStr">
        <is>
          <t>Föryngringsavverkning</t>
        </is>
      </c>
      <c r="D25" s="1" t="n">
        <v>44796</v>
      </c>
      <c r="E25" s="1" t="n">
        <v>46318</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6648-2023</t>
        </is>
      </c>
      <c r="B26" t="inlineStr">
        <is>
          <t>avverkningsanmälan</t>
        </is>
      </c>
      <c r="C26" t="inlineStr">
        <is>
          <t>Föryngringsavverkning</t>
        </is>
      </c>
      <c r="D26" s="1" t="n">
        <v>44966</v>
      </c>
      <c r="E26" s="1" t="n">
        <v>46318</v>
      </c>
      <c r="F26" t="inlineStr">
        <is>
          <t>STOCKHOLMS LÄN</t>
        </is>
      </c>
      <c r="G26" t="inlineStr">
        <is>
          <t>HANINGE</t>
        </is>
      </c>
      <c r="I26" t="n">
        <v>4</v>
      </c>
      <c r="J26" t="n">
        <v>1</v>
      </c>
      <c r="K26" t="n">
        <v>0</v>
      </c>
      <c r="L26" t="n">
        <v>1</v>
      </c>
      <c r="M26" t="n">
        <v>0</v>
      </c>
      <c r="N26" t="n">
        <v>0</v>
      </c>
      <c r="O26" t="n">
        <v>0</v>
      </c>
      <c r="P26" t="n">
        <v>0</v>
      </c>
      <c r="Q26" t="n">
        <v>1</v>
      </c>
      <c r="R26" t="n">
        <v>0</v>
      </c>
      <c r="S26" t="n">
        <v>1</v>
      </c>
      <c r="T26" t="n">
        <v>1</v>
      </c>
      <c r="U26" t="n">
        <v>0</v>
      </c>
      <c r="V26" s="2" t="inlineStr">
        <is>
          <t>Nötkråka</t>
        </is>
      </c>
      <c r="W26">
        <f>HYPERLINK("https://klasma.github.io/Logging_0136/artfynd/A 6648-2023 artfynd.xlsx", "A 6648-2023")</f>
        <v/>
      </c>
      <c r="X26">
        <f>HYPERLINK("https://klasma.github.io/Logging_0136/kartor/A 6648-2023 karta.png", "A 6648-2023")</f>
        <v/>
      </c>
      <c r="Y26">
        <f>HYPERLINK("https://klasma.github.io/Logging_0136/kartor_geotiff/A 6648-2023 georefererad karta.tif", "A 6648-2023")</f>
        <v/>
      </c>
      <c r="AA26">
        <f>HYPERLINK("https://klasma.github.io/Logging_0136/klagomål/A 6648-2023 FSC-klagomål.docx", "A 6648-2023")</f>
        <v/>
      </c>
      <c r="AB26">
        <f>HYPERLINK("https://klasma.github.io/Logging_0136/klagomålsmail/A 6648-2023 FSC-klagomål mail.docx", "A 6648-2023")</f>
        <v/>
      </c>
      <c r="AC26">
        <f>HYPERLINK("https://klasma.github.io/Logging_0136/tillsyn/A 6648-2023 tillsynsbegäran.docx", "A 6648-2023")</f>
        <v/>
      </c>
      <c r="AD26">
        <f>HYPERLINK("https://klasma.github.io/Logging_0136/tillsynsmail/A 6648-2023 tillsynsbegäran mail.docx", "A 6648-2023")</f>
        <v/>
      </c>
      <c r="AE26">
        <f>HYPERLINK("https://klasma.github.io/Logging_0136/fåglar/A 6648-2023 prioriterade fågelarter.docx", "A 6648-2023")</f>
        <v/>
      </c>
    </row>
    <row r="27" ht="15" customHeight="1">
      <c r="A27" t="inlineStr">
        <is>
          <t>A 41259-2022</t>
        </is>
      </c>
      <c r="B27" t="inlineStr">
        <is>
          <t>avverkningsanmälan</t>
        </is>
      </c>
      <c r="C27" t="inlineStr">
        <is>
          <t>Föryngringsavverkning</t>
        </is>
      </c>
      <c r="D27" s="1" t="n">
        <v>44825</v>
      </c>
      <c r="E27" s="1" t="n">
        <v>46318</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46318</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46318</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46318</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46318</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37000-2022</t>
        </is>
      </c>
      <c r="B32" t="inlineStr">
        <is>
          <t>avverkningsanmälan</t>
        </is>
      </c>
      <c r="C32" t="inlineStr">
        <is>
          <t>Föryngringsavverkning</t>
        </is>
      </c>
      <c r="D32" s="1" t="n">
        <v>44806</v>
      </c>
      <c r="E32" s="1" t="n">
        <v>46318</v>
      </c>
      <c r="F32" t="inlineStr">
        <is>
          <t>STOCKHOLMS LÄN</t>
        </is>
      </c>
      <c r="G32" t="inlineStr">
        <is>
          <t>HANINGE</t>
        </is>
      </c>
      <c r="H32" t="inlineStr">
        <is>
          <t>Övriga statliga verk och myndigheter</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41266-2022</t>
        </is>
      </c>
      <c r="B33" t="inlineStr">
        <is>
          <t>avverkningsanmälan</t>
        </is>
      </c>
      <c r="C33" t="inlineStr">
        <is>
          <t>Föryngringsavverkning</t>
        </is>
      </c>
      <c r="D33" s="1" t="n">
        <v>44825</v>
      </c>
      <c r="E33" s="1" t="n">
        <v>46318</v>
      </c>
      <c r="F33" t="inlineStr">
        <is>
          <t>STOCKHOLMS LÄN</t>
        </is>
      </c>
      <c r="G33" t="inlineStr">
        <is>
          <t>HANINGE</t>
        </is>
      </c>
      <c r="H33" t="inlineStr">
        <is>
          <t>Övriga statliga verk och myndigheter</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13135-2022</t>
        </is>
      </c>
      <c r="B34" t="inlineStr">
        <is>
          <t>avverkningsanmälan</t>
        </is>
      </c>
      <c r="C34" t="inlineStr">
        <is>
          <t>Föryngringsavverkning</t>
        </is>
      </c>
      <c r="D34" s="1" t="n">
        <v>44643</v>
      </c>
      <c r="E34" s="1" t="n">
        <v>46318</v>
      </c>
      <c r="F34" t="inlineStr">
        <is>
          <t>STOCKHOLMS LÄN</t>
        </is>
      </c>
      <c r="G34" t="inlineStr">
        <is>
          <t>HANINGE</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30419-2022</t>
        </is>
      </c>
      <c r="B35" t="inlineStr">
        <is>
          <t>avverkningsanmälan</t>
        </is>
      </c>
      <c r="C35" t="inlineStr">
        <is>
          <t>Föryngringsavverkning</t>
        </is>
      </c>
      <c r="D35" s="1" t="n">
        <v>44761</v>
      </c>
      <c r="E35" s="1" t="n">
        <v>46318</v>
      </c>
      <c r="F35" t="inlineStr">
        <is>
          <t>STOCKHOLMS LÄN</t>
        </is>
      </c>
      <c r="G35" t="inlineStr">
        <is>
          <t>HANINGE</t>
        </is>
      </c>
      <c r="I35" t="n">
        <v>7.4</v>
      </c>
      <c r="J35" t="n">
        <v>0</v>
      </c>
      <c r="K35" t="n">
        <v>0</v>
      </c>
      <c r="L35" t="n">
        <v>0</v>
      </c>
      <c r="M35" t="n">
        <v>0</v>
      </c>
      <c r="N35" t="n">
        <v>0</v>
      </c>
      <c r="O35" t="n">
        <v>0</v>
      </c>
      <c r="P35" t="n">
        <v>0</v>
      </c>
      <c r="Q35" t="n">
        <v>0</v>
      </c>
      <c r="R35" t="n">
        <v>0</v>
      </c>
      <c r="S35" t="n">
        <v>0</v>
      </c>
      <c r="T35" t="n">
        <v>0</v>
      </c>
      <c r="U35" t="n">
        <v>0</v>
      </c>
      <c r="V35" s="2" t="inlineStr"/>
    </row>
    <row r="36" ht="15" customHeight="1">
      <c r="A36" t="inlineStr">
        <is>
          <t>A 33792-2023</t>
        </is>
      </c>
      <c r="B36" t="inlineStr">
        <is>
          <t>avverkningsanmälan</t>
        </is>
      </c>
      <c r="C36" t="inlineStr">
        <is>
          <t>Föryngringsavverkning</t>
        </is>
      </c>
      <c r="D36" s="1" t="n">
        <v>45121</v>
      </c>
      <c r="E36" s="1" t="n">
        <v>46318</v>
      </c>
      <c r="F36" t="inlineStr">
        <is>
          <t>STOCKHOLMS LÄN</t>
        </is>
      </c>
      <c r="G36" t="inlineStr">
        <is>
          <t>HANINGE</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14900-2025</t>
        </is>
      </c>
      <c r="B37" t="inlineStr">
        <is>
          <t>avverkningsanmälan</t>
        </is>
      </c>
      <c r="C37" t="inlineStr">
        <is>
          <t>Föryngringsavverkning</t>
        </is>
      </c>
      <c r="D37" s="1" t="n">
        <v>45743</v>
      </c>
      <c r="E37" s="1" t="n">
        <v>46318</v>
      </c>
      <c r="F37" t="inlineStr">
        <is>
          <t>STOCKHOLMS LÄN</t>
        </is>
      </c>
      <c r="G37" t="inlineStr">
        <is>
          <t>HANINGE</t>
        </is>
      </c>
      <c r="I37" t="n">
        <v>4.5</v>
      </c>
      <c r="J37" t="n">
        <v>0</v>
      </c>
      <c r="K37" t="n">
        <v>0</v>
      </c>
      <c r="L37" t="n">
        <v>0</v>
      </c>
      <c r="M37" t="n">
        <v>0</v>
      </c>
      <c r="N37" t="n">
        <v>0</v>
      </c>
      <c r="O37" t="n">
        <v>0</v>
      </c>
      <c r="P37" t="n">
        <v>0</v>
      </c>
      <c r="Q37" t="n">
        <v>0</v>
      </c>
      <c r="R37" t="n">
        <v>0</v>
      </c>
      <c r="S37" t="n">
        <v>0</v>
      </c>
      <c r="T37" t="n">
        <v>0</v>
      </c>
      <c r="U37" t="n">
        <v>0</v>
      </c>
      <c r="V37" s="2" t="inlineStr"/>
    </row>
    <row r="38" ht="15" customHeight="1">
      <c r="A38" t="inlineStr">
        <is>
          <t>A 4297-2024</t>
        </is>
      </c>
      <c r="B38" t="inlineStr">
        <is>
          <t>avverkningsanmälan</t>
        </is>
      </c>
      <c r="C38" t="inlineStr">
        <is>
          <t>Föryngringsavverkning</t>
        </is>
      </c>
      <c r="D38" s="1" t="n">
        <v>45324</v>
      </c>
      <c r="E38" s="1" t="n">
        <v>46318</v>
      </c>
      <c r="F38" t="inlineStr">
        <is>
          <t>STOCKHOLMS LÄN</t>
        </is>
      </c>
      <c r="G38" t="inlineStr">
        <is>
          <t>HANINGE</t>
        </is>
      </c>
      <c r="H38" t="inlineStr">
        <is>
          <t>Kommuner</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20527-2025</t>
        </is>
      </c>
      <c r="B39" t="inlineStr">
        <is>
          <t>avverkningsanmälan</t>
        </is>
      </c>
      <c r="C39" t="inlineStr">
        <is>
          <t>Föryngringsavverkning</t>
        </is>
      </c>
      <c r="D39" s="1" t="n">
        <v>45775</v>
      </c>
      <c r="E39" s="1" t="n">
        <v>46318</v>
      </c>
      <c r="F39" t="inlineStr">
        <is>
          <t>STOCKHOLMS LÄN</t>
        </is>
      </c>
      <c r="G39" t="inlineStr">
        <is>
          <t>HANINGE</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64568-2023</t>
        </is>
      </c>
      <c r="B40" t="inlineStr">
        <is>
          <t>avverkningsanmälan</t>
        </is>
      </c>
      <c r="C40" t="inlineStr">
        <is>
          <t>Föryngringsavverkning</t>
        </is>
      </c>
      <c r="D40" s="1" t="n">
        <v>45281</v>
      </c>
      <c r="E40" s="1" t="n">
        <v>46318</v>
      </c>
      <c r="F40" t="inlineStr">
        <is>
          <t>STOCKHOLMS LÄN</t>
        </is>
      </c>
      <c r="G40" t="inlineStr">
        <is>
          <t>HANINGE</t>
        </is>
      </c>
      <c r="I40" t="n">
        <v>3.1</v>
      </c>
      <c r="J40" t="n">
        <v>0</v>
      </c>
      <c r="K40" t="n">
        <v>0</v>
      </c>
      <c r="L40" t="n">
        <v>0</v>
      </c>
      <c r="M40" t="n">
        <v>0</v>
      </c>
      <c r="N40" t="n">
        <v>0</v>
      </c>
      <c r="O40" t="n">
        <v>0</v>
      </c>
      <c r="P40" t="n">
        <v>0</v>
      </c>
      <c r="Q40" t="n">
        <v>0</v>
      </c>
      <c r="R40" t="n">
        <v>0</v>
      </c>
      <c r="S40" t="n">
        <v>0</v>
      </c>
      <c r="T40" t="n">
        <v>0</v>
      </c>
      <c r="U40" t="n">
        <v>0</v>
      </c>
      <c r="V40" s="2" t="inlineStr"/>
    </row>
    <row r="41" ht="15" customHeight="1">
      <c r="A41" t="inlineStr">
        <is>
          <t>A 9946-2024</t>
        </is>
      </c>
      <c r="B41" t="inlineStr">
        <is>
          <t>avverkningsanmälan</t>
        </is>
      </c>
      <c r="C41" t="inlineStr">
        <is>
          <t>Föryngringsavverkning</t>
        </is>
      </c>
      <c r="D41" s="1" t="n">
        <v>45363</v>
      </c>
      <c r="E41" s="1" t="n">
        <v>46318</v>
      </c>
      <c r="F41" t="inlineStr">
        <is>
          <t>STOCKHOLMS LÄN</t>
        </is>
      </c>
      <c r="G41" t="inlineStr">
        <is>
          <t>HANINGE</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27596-2025</t>
        </is>
      </c>
      <c r="B42" t="inlineStr">
        <is>
          <t>avverkningsanmälan</t>
        </is>
      </c>
      <c r="C42" t="inlineStr">
        <is>
          <t>Avverkning för att bevara och utveckla /försöksver</t>
        </is>
      </c>
      <c r="D42" s="1" t="n">
        <v>45813</v>
      </c>
      <c r="E42" s="1" t="n">
        <v>46318</v>
      </c>
      <c r="F42" t="inlineStr">
        <is>
          <t>STOCKHOLMS LÄN</t>
        </is>
      </c>
      <c r="G42" t="inlineStr">
        <is>
          <t>HANINGE</t>
        </is>
      </c>
      <c r="I42" t="n">
        <v>0.1</v>
      </c>
      <c r="J42" t="n">
        <v>0</v>
      </c>
      <c r="K42" t="n">
        <v>0</v>
      </c>
      <c r="L42" t="n">
        <v>0</v>
      </c>
      <c r="M42" t="n">
        <v>0</v>
      </c>
      <c r="N42" t="n">
        <v>0</v>
      </c>
      <c r="O42" t="n">
        <v>0</v>
      </c>
      <c r="P42" t="n">
        <v>0</v>
      </c>
      <c r="Q42" t="n">
        <v>0</v>
      </c>
      <c r="R42" t="n">
        <v>0</v>
      </c>
      <c r="S42" t="n">
        <v>0</v>
      </c>
      <c r="T42" t="n">
        <v>0</v>
      </c>
      <c r="U42" t="n">
        <v>0</v>
      </c>
      <c r="V42" s="2" t="inlineStr"/>
    </row>
    <row r="43" ht="15" customHeight="1">
      <c r="A43" t="inlineStr">
        <is>
          <t>A 1180-2024</t>
        </is>
      </c>
      <c r="B43" t="inlineStr">
        <is>
          <t>avverkningsanmälan</t>
        </is>
      </c>
      <c r="C43" t="inlineStr">
        <is>
          <t>Föryngringsavverkning</t>
        </is>
      </c>
      <c r="D43" s="1" t="n">
        <v>45302</v>
      </c>
      <c r="E43" s="1" t="n">
        <v>46318</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24873-2023</t>
        </is>
      </c>
      <c r="B44" t="inlineStr">
        <is>
          <t>avverkningsanmälan</t>
        </is>
      </c>
      <c r="C44" t="inlineStr">
        <is>
          <t>Föryngringsavverkning</t>
        </is>
      </c>
      <c r="D44" s="1" t="n">
        <v>45085</v>
      </c>
      <c r="E44" s="1" t="n">
        <v>46318</v>
      </c>
      <c r="F44" t="inlineStr">
        <is>
          <t>STOCKHOLMS LÄN</t>
        </is>
      </c>
      <c r="G44" t="inlineStr">
        <is>
          <t>HANINGE</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58599-2023</t>
        </is>
      </c>
      <c r="B45" t="inlineStr">
        <is>
          <t>avverkningsanmälan</t>
        </is>
      </c>
      <c r="C45" t="inlineStr">
        <is>
          <t>Föryngringsavverkning</t>
        </is>
      </c>
      <c r="D45" s="1" t="n">
        <v>45251</v>
      </c>
      <c r="E45" s="1" t="n">
        <v>46318</v>
      </c>
      <c r="F45" t="inlineStr">
        <is>
          <t>STOCKHOLMS LÄN</t>
        </is>
      </c>
      <c r="G45" t="inlineStr">
        <is>
          <t>HANINGE</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52836-2024</t>
        </is>
      </c>
      <c r="B46" t="inlineStr">
        <is>
          <t>avverkningsanmälan</t>
        </is>
      </c>
      <c r="C46" t="inlineStr">
        <is>
          <t>Föryngringsavverkning</t>
        </is>
      </c>
      <c r="D46" s="1" t="n">
        <v>45610</v>
      </c>
      <c r="E46" s="1" t="n">
        <v>46318</v>
      </c>
      <c r="F46" t="inlineStr">
        <is>
          <t>STOCKHOLMS LÄN</t>
        </is>
      </c>
      <c r="G46" t="inlineStr">
        <is>
          <t>HANINGE</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8078-2024</t>
        </is>
      </c>
      <c r="B47" t="inlineStr">
        <is>
          <t>avverkningsanmälan</t>
        </is>
      </c>
      <c r="C47" t="inlineStr">
        <is>
          <t>Föryngringsavverkning</t>
        </is>
      </c>
      <c r="D47" s="1" t="n">
        <v>45351</v>
      </c>
      <c r="E47" s="1" t="n">
        <v>46318</v>
      </c>
      <c r="F47" t="inlineStr">
        <is>
          <t>STOCKHOLMS LÄN</t>
        </is>
      </c>
      <c r="G47" t="inlineStr">
        <is>
          <t>HANINGE</t>
        </is>
      </c>
      <c r="H47" t="inlineStr">
        <is>
          <t>Kommuner</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14264-2025</t>
        </is>
      </c>
      <c r="B48" t="inlineStr">
        <is>
          <t>avverkningsanmälan</t>
        </is>
      </c>
      <c r="C48" t="inlineStr">
        <is>
          <t>Föryngringsavverkning</t>
        </is>
      </c>
      <c r="D48" s="1" t="n">
        <v>45740</v>
      </c>
      <c r="E48" s="1" t="n">
        <v>46318</v>
      </c>
      <c r="F48" t="inlineStr">
        <is>
          <t>STOCKHOLMS LÄN</t>
        </is>
      </c>
      <c r="G48" t="inlineStr">
        <is>
          <t>HANINGE</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32948-2025</t>
        </is>
      </c>
      <c r="B49" t="inlineStr">
        <is>
          <t>avverkningsanmälan</t>
        </is>
      </c>
      <c r="C49" t="inlineStr">
        <is>
          <t>Föryngringsavverkning</t>
        </is>
      </c>
      <c r="D49" s="1" t="n">
        <v>45839</v>
      </c>
      <c r="E49" s="1" t="n">
        <v>46318</v>
      </c>
      <c r="F49" t="inlineStr">
        <is>
          <t>STOCKHOLMS LÄN</t>
        </is>
      </c>
      <c r="G49" t="inlineStr">
        <is>
          <t>HANINGE</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19220-2023</t>
        </is>
      </c>
      <c r="B50" t="inlineStr">
        <is>
          <t>avverkningsanmälan</t>
        </is>
      </c>
      <c r="C50" t="inlineStr">
        <is>
          <t>Föryngringsavverkning</t>
        </is>
      </c>
      <c r="D50" s="1" t="n">
        <v>45048</v>
      </c>
      <c r="E50" s="1" t="n">
        <v>46318</v>
      </c>
      <c r="F50" t="inlineStr">
        <is>
          <t>STOCKHOLMS LÄN</t>
        </is>
      </c>
      <c r="G50" t="inlineStr">
        <is>
          <t>HANINGE</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25584-2023</t>
        </is>
      </c>
      <c r="B51" t="inlineStr">
        <is>
          <t>avverkningsanmälan</t>
        </is>
      </c>
      <c r="C51" t="inlineStr">
        <is>
          <t>Föryngringsavverkning</t>
        </is>
      </c>
      <c r="D51" s="1" t="n">
        <v>45089</v>
      </c>
      <c r="E51" s="1" t="n">
        <v>46318</v>
      </c>
      <c r="F51" t="inlineStr">
        <is>
          <t>STOCKHOLMS LÄN</t>
        </is>
      </c>
      <c r="G51" t="inlineStr">
        <is>
          <t>HANINGE</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3156-2025</t>
        </is>
      </c>
      <c r="B52" t="inlineStr">
        <is>
          <t>avverkningsanmälan</t>
        </is>
      </c>
      <c r="C52" t="inlineStr">
        <is>
          <t>Föryngringsavverkning</t>
        </is>
      </c>
      <c r="D52" s="1" t="n">
        <v>45679</v>
      </c>
      <c r="E52" s="1" t="n">
        <v>46318</v>
      </c>
      <c r="F52" t="inlineStr">
        <is>
          <t>STOCKHOLMS LÄN</t>
        </is>
      </c>
      <c r="G52" t="inlineStr">
        <is>
          <t>HANINGE</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48606-2025</t>
        </is>
      </c>
      <c r="B53" t="inlineStr">
        <is>
          <t>avverkningsanmälan</t>
        </is>
      </c>
      <c r="C53" t="inlineStr">
        <is>
          <t>Föryngringsavverkning</t>
        </is>
      </c>
      <c r="D53" s="1" t="n">
        <v>45936</v>
      </c>
      <c r="E53" s="1" t="n">
        <v>46318</v>
      </c>
      <c r="F53" t="inlineStr">
        <is>
          <t>STOCKHOLMS LÄN</t>
        </is>
      </c>
      <c r="G53" t="inlineStr">
        <is>
          <t>HANINGE</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17765-2024</t>
        </is>
      </c>
      <c r="B54" t="inlineStr">
        <is>
          <t>avverkningsanmälan</t>
        </is>
      </c>
      <c r="C54" t="inlineStr">
        <is>
          <t>Föryngringsavverkning</t>
        </is>
      </c>
      <c r="D54" s="1" t="n">
        <v>45418</v>
      </c>
      <c r="E54" s="1" t="n">
        <v>46318</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13046-2022</t>
        </is>
      </c>
      <c r="B55" t="inlineStr">
        <is>
          <t>avverkningsanmälan</t>
        </is>
      </c>
      <c r="C55" t="inlineStr">
        <is>
          <t>Föryngringsavverkning</t>
        </is>
      </c>
      <c r="D55" s="1" t="n">
        <v>44643</v>
      </c>
      <c r="E55" s="1" t="n">
        <v>46318</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46318</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68894-2021</t>
        </is>
      </c>
      <c r="B57" t="inlineStr">
        <is>
          <t>avverkningsanmälan</t>
        </is>
      </c>
      <c r="C57" t="inlineStr">
        <is>
          <t>Föryngringsavverkning</t>
        </is>
      </c>
      <c r="D57" s="1" t="n">
        <v>44526</v>
      </c>
      <c r="E57" s="1" t="n">
        <v>46318</v>
      </c>
      <c r="F57" t="inlineStr">
        <is>
          <t>STOCKHOLMS LÄN</t>
        </is>
      </c>
      <c r="G57" t="inlineStr">
        <is>
          <t>HANINGE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18491-2025</t>
        </is>
      </c>
      <c r="B58" t="inlineStr">
        <is>
          <t>avverkningsanmälan</t>
        </is>
      </c>
      <c r="C58" t="inlineStr">
        <is>
          <t>Föryngringsavverkning</t>
        </is>
      </c>
      <c r="D58" s="1" t="n">
        <v>45763</v>
      </c>
      <c r="E58" s="1" t="n">
        <v>46318</v>
      </c>
      <c r="F58" t="inlineStr">
        <is>
          <t>STOCKHOLMS LÄN</t>
        </is>
      </c>
      <c r="G58" t="inlineStr">
        <is>
          <t>HANINGE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46318</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50306-2023</t>
        </is>
      </c>
      <c r="B60" t="inlineStr">
        <is>
          <t>avverkningsanmälan</t>
        </is>
      </c>
      <c r="C60" t="inlineStr">
        <is>
          <t>Föryngringsavverkning</t>
        </is>
      </c>
      <c r="D60" s="1" t="n">
        <v>45209</v>
      </c>
      <c r="E60" s="1" t="n">
        <v>46318</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c r="Z60">
        <f>HYPERLINK("https://klasma.github.io/Logging_0136/knärot/A 50306-2023 karta knärot.png", "A 50306-2023")</f>
        <v/>
      </c>
      <c r="AA60">
        <f>HYPERLINK("https://klasma.github.io/Logging_0136/klagomål/A 50306-2023 FSC-klagomål.docx", "A 50306-2023")</f>
        <v/>
      </c>
      <c r="AB60">
        <f>HYPERLINK("https://klasma.github.io/Logging_0136/klagomålsmail/A 50306-2023 FSC-klagomål mail.docx", "A 50306-2023")</f>
        <v/>
      </c>
      <c r="AC60">
        <f>HYPERLINK("https://klasma.github.io/Logging_0136/tillsyn/A 50306-2023 tillsynsbegäran.docx", "A 50306-2023")</f>
        <v/>
      </c>
      <c r="AD60">
        <f>HYPERLINK("https://klasma.github.io/Logging_0136/tillsynsmail/A 50306-2023 tillsynsbegäran mail.docx", "A 50306-2023")</f>
        <v/>
      </c>
    </row>
    <row r="61" ht="15" customHeight="1">
      <c r="A61" t="inlineStr">
        <is>
          <t>A 26417-2026</t>
        </is>
      </c>
      <c r="B61" t="inlineStr">
        <is>
          <t>avverkningsanmälan</t>
        </is>
      </c>
      <c r="C61" t="inlineStr">
        <is>
          <t>Föryngringsavverkning</t>
        </is>
      </c>
      <c r="D61" s="1" t="n">
        <v>46183</v>
      </c>
      <c r="E61" s="1" t="n">
        <v>46318</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22288-2023</t>
        </is>
      </c>
      <c r="B62" t="inlineStr">
        <is>
          <t>avverkningsanmälan</t>
        </is>
      </c>
      <c r="C62" t="inlineStr">
        <is>
          <t>Föryngringsavverkning</t>
        </is>
      </c>
      <c r="D62" s="1" t="n">
        <v>45070</v>
      </c>
      <c r="E62" s="1" t="n">
        <v>46318</v>
      </c>
      <c r="F62" t="inlineStr">
        <is>
          <t>STOCKHOLMS LÄN</t>
        </is>
      </c>
      <c r="G62" t="inlineStr">
        <is>
          <t>HANINGE</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26886-2026</t>
        </is>
      </c>
      <c r="B63" t="inlineStr">
        <is>
          <t>avverkningsanmälan</t>
        </is>
      </c>
      <c r="C63" t="inlineStr">
        <is>
          <t>Avverkning för annat ändamål</t>
        </is>
      </c>
      <c r="D63" s="1" t="n">
        <v>46185</v>
      </c>
      <c r="E63" s="1" t="n">
        <v>46318</v>
      </c>
      <c r="F63" t="inlineStr">
        <is>
          <t>STOCKHOLMS LÄN</t>
        </is>
      </c>
      <c r="G63" t="inlineStr">
        <is>
          <t>HANINGE</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24193-2025</t>
        </is>
      </c>
      <c r="B64" t="inlineStr">
        <is>
          <t>avverkningsanmälan</t>
        </is>
      </c>
      <c r="C64" t="inlineStr">
        <is>
          <t>Föryngringsavverkning</t>
        </is>
      </c>
      <c r="D64" s="1" t="n">
        <v>45796</v>
      </c>
      <c r="E64" s="1" t="n">
        <v>46318</v>
      </c>
      <c r="F64" t="inlineStr">
        <is>
          <t>STOCKHOLMS LÄN</t>
        </is>
      </c>
      <c r="G64" t="inlineStr">
        <is>
          <t>HANINGE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64075-2023</t>
        </is>
      </c>
      <c r="B65" t="inlineStr">
        <is>
          <t>avverkningsanmälan</t>
        </is>
      </c>
      <c r="C65" t="inlineStr">
        <is>
          <t>Föryngringsavverkning</t>
        </is>
      </c>
      <c r="D65" s="1" t="n">
        <v>45279</v>
      </c>
      <c r="E65" s="1" t="n">
        <v>46318</v>
      </c>
      <c r="F65" t="inlineStr">
        <is>
          <t>STOCKHOLMS LÄN</t>
        </is>
      </c>
      <c r="G65" t="inlineStr">
        <is>
          <t>HANINGE</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12787-2026</t>
        </is>
      </c>
      <c r="B66" t="inlineStr">
        <is>
          <t>avverkningsanmälan</t>
        </is>
      </c>
      <c r="C66" t="inlineStr">
        <is>
          <t>Föryngringsavverkning</t>
        </is>
      </c>
      <c r="D66" s="1" t="n">
        <v>46091</v>
      </c>
      <c r="E66" s="1" t="n">
        <v>46318</v>
      </c>
      <c r="F66" t="inlineStr">
        <is>
          <t>STOCKHOLMS LÄN</t>
        </is>
      </c>
      <c r="G66" t="inlineStr">
        <is>
          <t>HANINGE</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42975-2026</t>
        </is>
      </c>
      <c r="B67" t="inlineStr">
        <is>
          <t>avverkningsanmälan</t>
        </is>
      </c>
      <c r="C67" t="inlineStr">
        <is>
          <t>Föryngringsavverkning</t>
        </is>
      </c>
      <c r="D67" s="1" t="n">
        <v>46310</v>
      </c>
      <c r="E67" s="1" t="n">
        <v>46318</v>
      </c>
      <c r="F67" t="inlineStr">
        <is>
          <t>STOCKHOLMS LÄN</t>
        </is>
      </c>
      <c r="G67" t="inlineStr">
        <is>
          <t>HANINGE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18512-2024</t>
        </is>
      </c>
      <c r="B68" t="inlineStr">
        <is>
          <t>avverkningsanmälan</t>
        </is>
      </c>
      <c r="C68" t="inlineStr">
        <is>
          <t>Föryngringsavverkning</t>
        </is>
      </c>
      <c r="D68" s="1" t="n">
        <v>45425</v>
      </c>
      <c r="E68" s="1" t="n">
        <v>46318</v>
      </c>
      <c r="F68" t="inlineStr">
        <is>
          <t>STOCKHOLMS LÄN</t>
        </is>
      </c>
      <c r="G68" t="inlineStr">
        <is>
          <t>HANINGE</t>
        </is>
      </c>
      <c r="H68" t="inlineStr">
        <is>
          <t>Kommuner</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32486-2026</t>
        </is>
      </c>
      <c r="B69" t="inlineStr">
        <is>
          <t>avverkningsanmälan</t>
        </is>
      </c>
      <c r="C69" t="inlineStr">
        <is>
          <t>Föryngringsavverkning</t>
        </is>
      </c>
      <c r="D69" s="1" t="n">
        <v>46239</v>
      </c>
      <c r="E69" s="1" t="n">
        <v>46318</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18528-2024</t>
        </is>
      </c>
      <c r="B70" t="inlineStr">
        <is>
          <t>avverkningsanmälan</t>
        </is>
      </c>
      <c r="C70" t="inlineStr">
        <is>
          <t>Föryngringsavverkning</t>
        </is>
      </c>
      <c r="D70" s="1" t="n">
        <v>45425</v>
      </c>
      <c r="E70" s="1" t="n">
        <v>46318</v>
      </c>
      <c r="F70" t="inlineStr">
        <is>
          <t>STOCKHOLMS LÄN</t>
        </is>
      </c>
      <c r="G70" t="inlineStr">
        <is>
          <t>HANINGE</t>
        </is>
      </c>
      <c r="H70" t="inlineStr">
        <is>
          <t>Kommuner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18490-2025</t>
        </is>
      </c>
      <c r="B71" t="inlineStr">
        <is>
          <t>avverkningsanmälan</t>
        </is>
      </c>
      <c r="C71" t="inlineStr">
        <is>
          <t>Föryngringsavverkning</t>
        </is>
      </c>
      <c r="D71" s="1" t="n">
        <v>45763</v>
      </c>
      <c r="E71" s="1" t="n">
        <v>46318</v>
      </c>
      <c r="F71" t="inlineStr">
        <is>
          <t>STOCKHOLMS LÄN</t>
        </is>
      </c>
      <c r="G71" t="inlineStr">
        <is>
          <t>HANINGE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18548-2024</t>
        </is>
      </c>
      <c r="B72" t="inlineStr">
        <is>
          <t>avverkningsanmälan</t>
        </is>
      </c>
      <c r="C72" t="inlineStr">
        <is>
          <t>Föryngringsavverkning</t>
        </is>
      </c>
      <c r="D72" s="1" t="n">
        <v>45425</v>
      </c>
      <c r="E72" s="1" t="n">
        <v>46318</v>
      </c>
      <c r="F72" t="inlineStr">
        <is>
          <t>STOCKHOLMS LÄN</t>
        </is>
      </c>
      <c r="G72" t="inlineStr">
        <is>
          <t>HANINGE</t>
        </is>
      </c>
      <c r="H72" t="inlineStr">
        <is>
          <t>Kommuner</t>
        </is>
      </c>
      <c r="I72" t="n">
        <v>7.3</v>
      </c>
      <c r="J72" t="n">
        <v>0</v>
      </c>
      <c r="K72" t="n">
        <v>0</v>
      </c>
      <c r="L72" t="n">
        <v>0</v>
      </c>
      <c r="M72" t="n">
        <v>0</v>
      </c>
      <c r="N72" t="n">
        <v>0</v>
      </c>
      <c r="O72" t="n">
        <v>0</v>
      </c>
      <c r="P72" t="n">
        <v>0</v>
      </c>
      <c r="Q72" t="n">
        <v>0</v>
      </c>
      <c r="R72" t="n">
        <v>0</v>
      </c>
      <c r="S72" t="n">
        <v>0</v>
      </c>
      <c r="T72" t="n">
        <v>0</v>
      </c>
      <c r="U72" t="n">
        <v>0</v>
      </c>
      <c r="V72" s="2" t="inlineStr"/>
    </row>
    <row r="73" ht="15" customHeight="1">
      <c r="A73" t="inlineStr">
        <is>
          <t>A 42392-2026</t>
        </is>
      </c>
      <c r="B73" t="inlineStr">
        <is>
          <t>avverkningsanmälan</t>
        </is>
      </c>
      <c r="C73" t="inlineStr">
        <is>
          <t>Föryngringsavverkning</t>
        </is>
      </c>
      <c r="D73" s="1" t="n">
        <v>46307</v>
      </c>
      <c r="E73" s="1" t="n">
        <v>46318</v>
      </c>
      <c r="F73" t="inlineStr">
        <is>
          <t>STOCKHOLMS LÄN</t>
        </is>
      </c>
      <c r="G73" t="inlineStr">
        <is>
          <t>HANINGE</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20839-2024</t>
        </is>
      </c>
      <c r="B74" t="inlineStr">
        <is>
          <t>avverkningsanmälan</t>
        </is>
      </c>
      <c r="C74" t="inlineStr">
        <is>
          <t>Föryngringsavverkning</t>
        </is>
      </c>
      <c r="D74" s="1" t="n">
        <v>45439</v>
      </c>
      <c r="E74" s="1" t="n">
        <v>46318</v>
      </c>
      <c r="F74" t="inlineStr">
        <is>
          <t>STOCKHOLMS LÄN</t>
        </is>
      </c>
      <c r="G74" t="inlineStr">
        <is>
          <t>HANINGE</t>
        </is>
      </c>
      <c r="I74" t="n">
        <v>8.4</v>
      </c>
      <c r="J74" t="n">
        <v>0</v>
      </c>
      <c r="K74" t="n">
        <v>0</v>
      </c>
      <c r="L74" t="n">
        <v>0</v>
      </c>
      <c r="M74" t="n">
        <v>0</v>
      </c>
      <c r="N74" t="n">
        <v>0</v>
      </c>
      <c r="O74" t="n">
        <v>0</v>
      </c>
      <c r="P74" t="n">
        <v>0</v>
      </c>
      <c r="Q74" t="n">
        <v>0</v>
      </c>
      <c r="R74" t="n">
        <v>0</v>
      </c>
      <c r="S74" t="n">
        <v>0</v>
      </c>
      <c r="T74" t="n">
        <v>0</v>
      </c>
      <c r="U74" t="n">
        <v>0</v>
      </c>
      <c r="V74" s="2" t="inlineStr"/>
    </row>
    <row r="75" ht="15" customHeight="1">
      <c r="A75" t="inlineStr">
        <is>
          <t>A 5474-2024</t>
        </is>
      </c>
      <c r="B75" t="inlineStr">
        <is>
          <t>avverkningsanmälan</t>
        </is>
      </c>
      <c r="C75" t="inlineStr">
        <is>
          <t>Föryngringsavverkning</t>
        </is>
      </c>
      <c r="D75" s="1" t="n">
        <v>45333</v>
      </c>
      <c r="E75" s="1" t="n">
        <v>46318</v>
      </c>
      <c r="F75" t="inlineStr">
        <is>
          <t>STOCKHOLMS LÄN</t>
        </is>
      </c>
      <c r="G75" t="inlineStr">
        <is>
          <t>HANINGE</t>
        </is>
      </c>
      <c r="H75" t="inlineStr">
        <is>
          <t>Kommuner</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46318</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42952-2026</t>
        </is>
      </c>
      <c r="B77" t="inlineStr">
        <is>
          <t>avverkningsanmälan</t>
        </is>
      </c>
      <c r="C77" t="inlineStr">
        <is>
          <t>Föryngringsavverkning</t>
        </is>
      </c>
      <c r="D77" s="1" t="n">
        <v>46310</v>
      </c>
      <c r="E77" s="1" t="n">
        <v>46318</v>
      </c>
      <c r="F77" t="inlineStr">
        <is>
          <t>STOCKHOLMS LÄN</t>
        </is>
      </c>
      <c r="G77" t="inlineStr">
        <is>
          <t>HANINGE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68896-2021</t>
        </is>
      </c>
      <c r="B78" t="inlineStr">
        <is>
          <t>avverkningsanmälan</t>
        </is>
      </c>
      <c r="C78" t="inlineStr">
        <is>
          <t>Föryngringsavverkning</t>
        </is>
      </c>
      <c r="D78" s="1" t="n">
        <v>44526</v>
      </c>
      <c r="E78" s="1" t="n">
        <v>46318</v>
      </c>
      <c r="F78" t="inlineStr">
        <is>
          <t>STOCKHOLMS LÄN</t>
        </is>
      </c>
      <c r="G78" t="inlineStr">
        <is>
          <t>HANINGE</t>
        </is>
      </c>
      <c r="I78" t="n">
        <v>3.4</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46318</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2026-10-23T02:04:14Z</dcterms:created>
  <dcterms:modified xmlns:dcterms="http://purl.org/dc/terms/" xmlns:xsi="http://www.w3.org/2001/XMLSchema-instance" xsi:type="dcterms:W3CDTF">2026-10-23T02:04:14Z</dcterms:modified>
</cp:coreProperties>
</file>