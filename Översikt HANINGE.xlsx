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46284</v>
      </c>
      <c r="F3" t="inlineStr">
        <is>
          <t>STOCKHOLMS LÄN</t>
        </is>
      </c>
      <c r="G3" t="inlineStr">
        <is>
          <t>HANINGE</t>
        </is>
      </c>
      <c r="I3" t="n">
        <v>19.8</v>
      </c>
      <c r="J3" t="n">
        <v>17</v>
      </c>
      <c r="K3" t="n">
        <v>20</v>
      </c>
      <c r="L3" t="n">
        <v>16</v>
      </c>
      <c r="M3" t="n">
        <v>7</v>
      </c>
      <c r="N3" t="n">
        <v>0</v>
      </c>
      <c r="O3" t="n">
        <v>0</v>
      </c>
      <c r="P3" t="n">
        <v>0</v>
      </c>
      <c r="Q3" t="n">
        <v>23</v>
      </c>
      <c r="R3" t="n">
        <v>7</v>
      </c>
      <c r="S3" t="n">
        <v>53</v>
      </c>
      <c r="T3" t="n">
        <v>248</v>
      </c>
      <c r="U3" t="n">
        <v>157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46284</v>
      </c>
      <c r="F4" t="inlineStr">
        <is>
          <t>STOCKHOLMS LÄN</t>
        </is>
      </c>
      <c r="G4" t="inlineStr">
        <is>
          <t>HANINGE</t>
        </is>
      </c>
      <c r="I4" t="n">
        <v>19.9</v>
      </c>
      <c r="J4" t="n">
        <v>16</v>
      </c>
      <c r="K4" t="n">
        <v>19</v>
      </c>
      <c r="L4" t="n">
        <v>15</v>
      </c>
      <c r="M4" t="n">
        <v>7</v>
      </c>
      <c r="N4" t="n">
        <v>0</v>
      </c>
      <c r="O4" t="n">
        <v>0</v>
      </c>
      <c r="P4" t="n">
        <v>0</v>
      </c>
      <c r="Q4" t="n">
        <v>22</v>
      </c>
      <c r="R4" t="n">
        <v>7</v>
      </c>
      <c r="S4" t="n">
        <v>52</v>
      </c>
      <c r="T4" t="n">
        <v>202</v>
      </c>
      <c r="U4" t="n">
        <v>67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46284</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46284</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46284</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46284</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46284</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46284</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46284</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59567-2025</t>
        </is>
      </c>
      <c r="B13" t="inlineStr">
        <is>
          <t>avverkningsanmälan</t>
        </is>
      </c>
      <c r="C13" t="inlineStr">
        <is>
          <t>Föryngringsavverkning</t>
        </is>
      </c>
      <c r="D13" s="1" t="n">
        <v>45991</v>
      </c>
      <c r="E13" s="1" t="n">
        <v>46284</v>
      </c>
      <c r="F13" t="inlineStr">
        <is>
          <t>STOCKHOLMS LÄN</t>
        </is>
      </c>
      <c r="G13" t="inlineStr">
        <is>
          <t>HANINGE</t>
        </is>
      </c>
      <c r="I13" t="n">
        <v>6.6</v>
      </c>
      <c r="J13" t="n">
        <v>5</v>
      </c>
      <c r="K13" t="n">
        <v>8</v>
      </c>
      <c r="L13" t="n">
        <v>8</v>
      </c>
      <c r="M13" t="n">
        <v>1</v>
      </c>
      <c r="N13" t="n">
        <v>0</v>
      </c>
      <c r="O13" t="n">
        <v>0</v>
      </c>
      <c r="P13" t="n">
        <v>0</v>
      </c>
      <c r="Q13" t="n">
        <v>9</v>
      </c>
      <c r="R13" t="n">
        <v>1</v>
      </c>
      <c r="S13" t="n">
        <v>19</v>
      </c>
      <c r="T13" t="n">
        <v>32</v>
      </c>
      <c r="U13" t="n">
        <v>27</v>
      </c>
      <c r="V1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3">
        <f>HYPERLINK("https://klasma.github.io/Logging_0136/artfynd/A 59567-2025 artfynd.xlsx", "A 59567-2025")</f>
        <v/>
      </c>
      <c r="X13">
        <f>HYPERLINK("https://klasma.github.io/Logging_0136/kartor/A 59567-2025 karta.png", "A 59567-2025")</f>
        <v/>
      </c>
      <c r="Y13">
        <f>HYPERLINK("https://klasma.github.io/Logging_0136/kartor_geotiff/A 59567-2025 georefererad karta.tif", "A 59567-2025")</f>
        <v/>
      </c>
      <c r="Z13">
        <f>HYPERLINK("https://klasma.github.io/Logging_0136/knärot/A 59567-2025 karta knärot.png", "A 59567-2025")</f>
        <v/>
      </c>
      <c r="AA13">
        <f>HYPERLINK("https://klasma.github.io/Logging_0136/klagomål/A 59567-2025 FSC-klagomål.docx", "A 59567-2025")</f>
        <v/>
      </c>
      <c r="AB13">
        <f>HYPERLINK("https://klasma.github.io/Logging_0136/klagomålsmail/A 59567-2025 FSC-klagomål mail.docx", "A 59567-2025")</f>
        <v/>
      </c>
      <c r="AC13">
        <f>HYPERLINK("https://klasma.github.io/Logging_0136/tillsyn/A 59567-2025 tillsynsbegäran.docx", "A 59567-2025")</f>
        <v/>
      </c>
      <c r="AD13">
        <f>HYPERLINK("https://klasma.github.io/Logging_0136/tillsynsmail/A 59567-2025 tillsynsbegäran mail.docx", "A 59567-2025")</f>
        <v/>
      </c>
      <c r="AE13">
        <f>HYPERLINK("https://klasma.github.io/Logging_0136/fåglar/A 59567-2025 prioriterade fågelarter.docx", "A 59567-2025")</f>
        <v/>
      </c>
    </row>
    <row r="14" ht="15" customHeight="1">
      <c r="A14" t="inlineStr">
        <is>
          <t>A 17454-2026</t>
        </is>
      </c>
      <c r="B14" t="inlineStr">
        <is>
          <t>avverkningsanmälan</t>
        </is>
      </c>
      <c r="C14" t="inlineStr">
        <is>
          <t>Föryngringsavverkning</t>
        </is>
      </c>
      <c r="D14" s="1" t="n">
        <v>46120</v>
      </c>
      <c r="E14" s="1" t="n">
        <v>46284</v>
      </c>
      <c r="F14" t="inlineStr">
        <is>
          <t>STOCKHOLMS LÄN</t>
        </is>
      </c>
      <c r="G14" t="inlineStr">
        <is>
          <t>HANINGE</t>
        </is>
      </c>
      <c r="I14" t="n">
        <v>31.4</v>
      </c>
      <c r="J14" t="n">
        <v>5</v>
      </c>
      <c r="K14" t="n">
        <v>11</v>
      </c>
      <c r="L14" t="n">
        <v>2</v>
      </c>
      <c r="M14" t="n">
        <v>1</v>
      </c>
      <c r="N14" t="n">
        <v>0</v>
      </c>
      <c r="O14" t="n">
        <v>0</v>
      </c>
      <c r="P14" t="n">
        <v>0</v>
      </c>
      <c r="Q14" t="n">
        <v>3</v>
      </c>
      <c r="R14" t="n">
        <v>1</v>
      </c>
      <c r="S14" t="n">
        <v>19</v>
      </c>
      <c r="T14" t="n">
        <v>32</v>
      </c>
      <c r="U14" t="n">
        <v>24</v>
      </c>
      <c r="V1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4">
        <f>HYPERLINK("https://klasma.github.io/Logging_0136/artfynd/A 17454-2026 artfynd.xlsx", "A 17454-2026")</f>
        <v/>
      </c>
      <c r="X14">
        <f>HYPERLINK("https://klasma.github.io/Logging_0136/kartor/A 17454-2026 karta.png", "A 17454-2026")</f>
        <v/>
      </c>
      <c r="Y14">
        <f>HYPERLINK("https://klasma.github.io/Logging_0136/kartor_geotiff/A 17454-2026 georefererad karta.tif", "A 17454-2026")</f>
        <v/>
      </c>
      <c r="Z14">
        <f>HYPERLINK("https://klasma.github.io/Logging_0136/knärot/A 17454-2026 karta knärot.png", "A 17454-2026")</f>
        <v/>
      </c>
      <c r="AA14">
        <f>HYPERLINK("https://klasma.github.io/Logging_0136/klagomål/A 17454-2026 FSC-klagomål.docx", "A 17454-2026")</f>
        <v/>
      </c>
      <c r="AB14">
        <f>HYPERLINK("https://klasma.github.io/Logging_0136/klagomålsmail/A 17454-2026 FSC-klagomål mail.docx", "A 17454-2026")</f>
        <v/>
      </c>
      <c r="AC14">
        <f>HYPERLINK("https://klasma.github.io/Logging_0136/tillsyn/A 17454-2026 tillsynsbegäran.docx", "A 17454-2026")</f>
        <v/>
      </c>
      <c r="AD14">
        <f>HYPERLINK("https://klasma.github.io/Logging_0136/tillsynsmail/A 17454-2026 tillsynsbegäran mail.docx", "A 17454-2026")</f>
        <v/>
      </c>
      <c r="AE14">
        <f>HYPERLINK("https://klasma.github.io/Logging_0136/fåglar/A 17454-2026 prioriterade fågelarter.docx", "A 17454-2026")</f>
        <v/>
      </c>
    </row>
    <row r="15" ht="15" customHeight="1">
      <c r="A15" t="inlineStr">
        <is>
          <t>A 3155-2025</t>
        </is>
      </c>
      <c r="B15" t="inlineStr">
        <is>
          <t>avverkningsanmälan</t>
        </is>
      </c>
      <c r="C15" t="inlineStr">
        <is>
          <t>Föryngringsavverkning</t>
        </is>
      </c>
      <c r="D15" s="1" t="n">
        <v>45679</v>
      </c>
      <c r="E15" s="1" t="n">
        <v>46284</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46284</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46284</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46284</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46284</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46284</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46284</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46284</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46284</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46284</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46284</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46284</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46284</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46284</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46284</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46284</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46284</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46284</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46284</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46284</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46284</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46284</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46284</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46284</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46284</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46284</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46284</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46284</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46284</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46284</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13046-2022</t>
        </is>
      </c>
      <c r="B45" t="inlineStr">
        <is>
          <t>avverkningsanmälan</t>
        </is>
      </c>
      <c r="C45" t="inlineStr">
        <is>
          <t>Föryngringsavverkning</t>
        </is>
      </c>
      <c r="D45" s="1" t="n">
        <v>44643</v>
      </c>
      <c r="E45" s="1" t="n">
        <v>46284</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50306-2023</t>
        </is>
      </c>
      <c r="B46" t="inlineStr">
        <is>
          <t>avverkningsanmälan</t>
        </is>
      </c>
      <c r="C46" t="inlineStr">
        <is>
          <t>Föryngringsavverkning</t>
        </is>
      </c>
      <c r="D46" s="1" t="n">
        <v>45209</v>
      </c>
      <c r="E46" s="1" t="n">
        <v>46284</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c r="Z46">
        <f>HYPERLINK("https://klasma.github.io/Logging_0136/knärot/A 50306-2023 karta knärot.png", "A 50306-2023")</f>
        <v/>
      </c>
      <c r="AA46">
        <f>HYPERLINK("https://klasma.github.io/Logging_0136/klagomål/A 50306-2023 FSC-klagomål.docx", "A 50306-2023")</f>
        <v/>
      </c>
      <c r="AB46">
        <f>HYPERLINK("https://klasma.github.io/Logging_0136/klagomålsmail/A 50306-2023 FSC-klagomål mail.docx", "A 50306-2023")</f>
        <v/>
      </c>
      <c r="AC46">
        <f>HYPERLINK("https://klasma.github.io/Logging_0136/tillsyn/A 50306-2023 tillsynsbegäran.docx", "A 50306-2023")</f>
        <v/>
      </c>
      <c r="AD46">
        <f>HYPERLINK("https://klasma.github.io/Logging_0136/tillsynsmail/A 50306-2023 tillsynsbegäran mail.docx", "A 50306-2023")</f>
        <v/>
      </c>
    </row>
    <row r="47" ht="15" customHeight="1">
      <c r="A47" t="inlineStr">
        <is>
          <t>A 22288-2023</t>
        </is>
      </c>
      <c r="B47" t="inlineStr">
        <is>
          <t>avverkningsanmälan</t>
        </is>
      </c>
      <c r="C47" t="inlineStr">
        <is>
          <t>Föryngringsavverkning</t>
        </is>
      </c>
      <c r="D47" s="1" t="n">
        <v>45070</v>
      </c>
      <c r="E47" s="1" t="n">
        <v>46284</v>
      </c>
      <c r="F47" t="inlineStr">
        <is>
          <t>STOCKHOLMS LÄN</t>
        </is>
      </c>
      <c r="G47" t="inlineStr">
        <is>
          <t>HANINGE</t>
        </is>
      </c>
      <c r="I47" t="n">
        <v>2.8</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46284</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32948-2025</t>
        </is>
      </c>
      <c r="B49" t="inlineStr">
        <is>
          <t>avverkningsanmälan</t>
        </is>
      </c>
      <c r="C49" t="inlineStr">
        <is>
          <t>Föryngringsavverkning</t>
        </is>
      </c>
      <c r="D49" s="1" t="n">
        <v>45839</v>
      </c>
      <c r="E49" s="1" t="n">
        <v>46284</v>
      </c>
      <c r="F49" t="inlineStr">
        <is>
          <t>STOCKHOLMS LÄN</t>
        </is>
      </c>
      <c r="G49" t="inlineStr">
        <is>
          <t>HANINGE</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46284</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52770-2024</t>
        </is>
      </c>
      <c r="B51" t="inlineStr">
        <is>
          <t>avverkningsanmälan</t>
        </is>
      </c>
      <c r="C51" t="inlineStr">
        <is>
          <t>Föryngringsavverkning</t>
        </is>
      </c>
      <c r="D51" s="1" t="n">
        <v>45610</v>
      </c>
      <c r="E51" s="1" t="n">
        <v>46284</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46284</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18490-2025</t>
        </is>
      </c>
      <c r="B53" t="inlineStr">
        <is>
          <t>avverkningsanmälan</t>
        </is>
      </c>
      <c r="C53" t="inlineStr">
        <is>
          <t>Föryngringsavverkning</t>
        </is>
      </c>
      <c r="D53" s="1" t="n">
        <v>45763</v>
      </c>
      <c r="E53" s="1" t="n">
        <v>46284</v>
      </c>
      <c r="F53" t="inlineStr">
        <is>
          <t>STOCKHOLMS LÄN</t>
        </is>
      </c>
      <c r="G53" t="inlineStr">
        <is>
          <t>HANINGE</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18548-2024</t>
        </is>
      </c>
      <c r="B54" t="inlineStr">
        <is>
          <t>avverkningsanmälan</t>
        </is>
      </c>
      <c r="C54" t="inlineStr">
        <is>
          <t>Föryngringsavverkning</t>
        </is>
      </c>
      <c r="D54" s="1" t="n">
        <v>45425</v>
      </c>
      <c r="E54" s="1" t="n">
        <v>46284</v>
      </c>
      <c r="F54" t="inlineStr">
        <is>
          <t>STOCKHOLMS LÄN</t>
        </is>
      </c>
      <c r="G54" t="inlineStr">
        <is>
          <t>HANINGE</t>
        </is>
      </c>
      <c r="H54" t="inlineStr">
        <is>
          <t>Kommuner</t>
        </is>
      </c>
      <c r="I54" t="n">
        <v>7.3</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46284</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5474-2024</t>
        </is>
      </c>
      <c r="B56" t="inlineStr">
        <is>
          <t>avverkningsanmälan</t>
        </is>
      </c>
      <c r="C56" t="inlineStr">
        <is>
          <t>Föryngringsavverkning</t>
        </is>
      </c>
      <c r="D56" s="1" t="n">
        <v>45333</v>
      </c>
      <c r="E56" s="1" t="n">
        <v>46284</v>
      </c>
      <c r="F56" t="inlineStr">
        <is>
          <t>STOCKHOLMS LÄN</t>
        </is>
      </c>
      <c r="G56" t="inlineStr">
        <is>
          <t>HANINGE</t>
        </is>
      </c>
      <c r="H56" t="inlineStr">
        <is>
          <t>Kommuner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23666-2024</t>
        </is>
      </c>
      <c r="B57" t="inlineStr">
        <is>
          <t>avverkningsanmälan</t>
        </is>
      </c>
      <c r="C57" t="inlineStr">
        <is>
          <t>Föryngringsavverkning</t>
        </is>
      </c>
      <c r="D57" s="1" t="n">
        <v>45454</v>
      </c>
      <c r="E57" s="1" t="n">
        <v>46284</v>
      </c>
      <c r="F57" t="inlineStr">
        <is>
          <t>STOCKHOLMS LÄN</t>
        </is>
      </c>
      <c r="G57" t="inlineStr">
        <is>
          <t>HANINGE</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68896-2021</t>
        </is>
      </c>
      <c r="B58" t="inlineStr">
        <is>
          <t>avverkningsanmälan</t>
        </is>
      </c>
      <c r="C58" t="inlineStr">
        <is>
          <t>Föryngringsavverkning</t>
        </is>
      </c>
      <c r="D58" s="1" t="n">
        <v>44526</v>
      </c>
      <c r="E58" s="1" t="n">
        <v>46284</v>
      </c>
      <c r="F58" t="inlineStr">
        <is>
          <t>STOCKHOLMS LÄN</t>
        </is>
      </c>
      <c r="G58" t="inlineStr">
        <is>
          <t>HANINGE</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59569-2025</t>
        </is>
      </c>
      <c r="B59" t="inlineStr">
        <is>
          <t>avverkningsanmälan</t>
        </is>
      </c>
      <c r="C59" t="inlineStr">
        <is>
          <t>Föryngringsavverkning</t>
        </is>
      </c>
      <c r="D59" s="1" t="n">
        <v>45991</v>
      </c>
      <c r="E59" s="1" t="n">
        <v>46284</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33792-2023</t>
        </is>
      </c>
      <c r="B60" t="inlineStr">
        <is>
          <t>avverkningsanmälan</t>
        </is>
      </c>
      <c r="C60" t="inlineStr">
        <is>
          <t>Föryngringsavverkning</t>
        </is>
      </c>
      <c r="D60" s="1" t="n">
        <v>45121</v>
      </c>
      <c r="E60" s="1" t="n">
        <v>46284</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14900-2025</t>
        </is>
      </c>
      <c r="B61" t="inlineStr">
        <is>
          <t>avverkningsanmälan</t>
        </is>
      </c>
      <c r="C61" t="inlineStr">
        <is>
          <t>Föryngringsavverkning</t>
        </is>
      </c>
      <c r="D61" s="1" t="n">
        <v>45743</v>
      </c>
      <c r="E61" s="1" t="n">
        <v>46284</v>
      </c>
      <c r="F61" t="inlineStr">
        <is>
          <t>STOCKHOLMS LÄN</t>
        </is>
      </c>
      <c r="G61" t="inlineStr">
        <is>
          <t>HANINGE</t>
        </is>
      </c>
      <c r="I61" t="n">
        <v>4.5</v>
      </c>
      <c r="J61" t="n">
        <v>0</v>
      </c>
      <c r="K61" t="n">
        <v>0</v>
      </c>
      <c r="L61" t="n">
        <v>0</v>
      </c>
      <c r="M61" t="n">
        <v>0</v>
      </c>
      <c r="N61" t="n">
        <v>0</v>
      </c>
      <c r="O61" t="n">
        <v>0</v>
      </c>
      <c r="P61" t="n">
        <v>0</v>
      </c>
      <c r="Q61" t="n">
        <v>0</v>
      </c>
      <c r="R61" t="n">
        <v>0</v>
      </c>
      <c r="S61" t="n">
        <v>0</v>
      </c>
      <c r="T61" t="n">
        <v>0</v>
      </c>
      <c r="U61" t="n">
        <v>0</v>
      </c>
      <c r="V61" s="2" t="inlineStr"/>
    </row>
    <row r="62" ht="15" customHeight="1">
      <c r="A62" t="inlineStr">
        <is>
          <t>A 20527-2025</t>
        </is>
      </c>
      <c r="B62" t="inlineStr">
        <is>
          <t>avverkningsanmälan</t>
        </is>
      </c>
      <c r="C62" t="inlineStr">
        <is>
          <t>Föryngringsavverkning</t>
        </is>
      </c>
      <c r="D62" s="1" t="n">
        <v>45775</v>
      </c>
      <c r="E62" s="1" t="n">
        <v>46284</v>
      </c>
      <c r="F62" t="inlineStr">
        <is>
          <t>STOCKHOLMS LÄN</t>
        </is>
      </c>
      <c r="G62" t="inlineStr">
        <is>
          <t>HANINGE</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64568-2023</t>
        </is>
      </c>
      <c r="B63" t="inlineStr">
        <is>
          <t>avverkningsanmälan</t>
        </is>
      </c>
      <c r="C63" t="inlineStr">
        <is>
          <t>Föryngringsavverkning</t>
        </is>
      </c>
      <c r="D63" s="1" t="n">
        <v>45281</v>
      </c>
      <c r="E63" s="1" t="n">
        <v>46284</v>
      </c>
      <c r="F63" t="inlineStr">
        <is>
          <t>STOCKHOLMS LÄN</t>
        </is>
      </c>
      <c r="G63" t="inlineStr">
        <is>
          <t>HANINGE</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46284</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46284</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58599-2023</t>
        </is>
      </c>
      <c r="B66" t="inlineStr">
        <is>
          <t>avverkningsanmälan</t>
        </is>
      </c>
      <c r="C66" t="inlineStr">
        <is>
          <t>Föryngringsavverkning</t>
        </is>
      </c>
      <c r="D66" s="1" t="n">
        <v>45251</v>
      </c>
      <c r="E66" s="1" t="n">
        <v>46284</v>
      </c>
      <c r="F66" t="inlineStr">
        <is>
          <t>STOCKHOLMS LÄN</t>
        </is>
      </c>
      <c r="G66" t="inlineStr">
        <is>
          <t>HANINGE</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24800-2026</t>
        </is>
      </c>
      <c r="B67" t="inlineStr">
        <is>
          <t>avverkningsanmälan</t>
        </is>
      </c>
      <c r="C67" t="inlineStr">
        <is>
          <t>Föryngringsavverkning</t>
        </is>
      </c>
      <c r="D67" s="1" t="n">
        <v>46171</v>
      </c>
      <c r="E67" s="1" t="n">
        <v>46284</v>
      </c>
      <c r="F67" t="inlineStr">
        <is>
          <t>STOCKHOLMS LÄN</t>
        </is>
      </c>
      <c r="G67" t="inlineStr">
        <is>
          <t>HANINGE</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46284</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26417-2026</t>
        </is>
      </c>
      <c r="B69" t="inlineStr">
        <is>
          <t>avverkningsanmälan</t>
        </is>
      </c>
      <c r="C69" t="inlineStr">
        <is>
          <t>Föryngringsavverkning</t>
        </is>
      </c>
      <c r="D69" s="1" t="n">
        <v>46183</v>
      </c>
      <c r="E69" s="1" t="n">
        <v>46284</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46284</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26886-2026</t>
        </is>
      </c>
      <c r="B71" t="inlineStr">
        <is>
          <t>avverkningsanmälan</t>
        </is>
      </c>
      <c r="C71" t="inlineStr">
        <is>
          <t>Avverkning för annat ändamål</t>
        </is>
      </c>
      <c r="D71" s="1" t="n">
        <v>46185</v>
      </c>
      <c r="E71" s="1" t="n">
        <v>46284</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12787-2026</t>
        </is>
      </c>
      <c r="B72" t="inlineStr">
        <is>
          <t>avverkningsanmälan</t>
        </is>
      </c>
      <c r="C72" t="inlineStr">
        <is>
          <t>Föryngringsavverkning</t>
        </is>
      </c>
      <c r="D72" s="1" t="n">
        <v>46091</v>
      </c>
      <c r="E72" s="1" t="n">
        <v>46284</v>
      </c>
      <c r="F72" t="inlineStr">
        <is>
          <t>STOCKHOLMS LÄN</t>
        </is>
      </c>
      <c r="G72" t="inlineStr">
        <is>
          <t>HANINGE</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46284</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25584-2023</t>
        </is>
      </c>
      <c r="B74" t="inlineStr">
        <is>
          <t>avverkningsanmälan</t>
        </is>
      </c>
      <c r="C74" t="inlineStr">
        <is>
          <t>Föryngringsavverkning</t>
        </is>
      </c>
      <c r="D74" s="1" t="n">
        <v>45089</v>
      </c>
      <c r="E74" s="1" t="n">
        <v>46284</v>
      </c>
      <c r="F74" t="inlineStr">
        <is>
          <t>STOCKHOLMS LÄN</t>
        </is>
      </c>
      <c r="G74" t="inlineStr">
        <is>
          <t>HANINGE</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3156-2025</t>
        </is>
      </c>
      <c r="B75" t="inlineStr">
        <is>
          <t>avverkningsanmälan</t>
        </is>
      </c>
      <c r="C75" t="inlineStr">
        <is>
          <t>Föryngringsavverkning</t>
        </is>
      </c>
      <c r="D75" s="1" t="n">
        <v>45679</v>
      </c>
      <c r="E75" s="1" t="n">
        <v>46284</v>
      </c>
      <c r="F75" t="inlineStr">
        <is>
          <t>STOCKHOLMS LÄN</t>
        </is>
      </c>
      <c r="G75" t="inlineStr">
        <is>
          <t>HANINGE</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17765-2024</t>
        </is>
      </c>
      <c r="B76" t="inlineStr">
        <is>
          <t>avverkningsanmälan</t>
        </is>
      </c>
      <c r="C76" t="inlineStr">
        <is>
          <t>Föryngringsavverkning</t>
        </is>
      </c>
      <c r="D76" s="1" t="n">
        <v>45418</v>
      </c>
      <c r="E76" s="1" t="n">
        <v>46284</v>
      </c>
      <c r="F76" t="inlineStr">
        <is>
          <t>STOCKHOLMS LÄN</t>
        </is>
      </c>
      <c r="G76" t="inlineStr">
        <is>
          <t>HANINGE</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68894-2021</t>
        </is>
      </c>
      <c r="B77" t="inlineStr">
        <is>
          <t>avverkningsanmälan</t>
        </is>
      </c>
      <c r="C77" t="inlineStr">
        <is>
          <t>Föryngringsavverkning</t>
        </is>
      </c>
      <c r="D77" s="1" t="n">
        <v>44526</v>
      </c>
      <c r="E77" s="1" t="n">
        <v>46284</v>
      </c>
      <c r="F77" t="inlineStr">
        <is>
          <t>STOCKHOLMS LÄN</t>
        </is>
      </c>
      <c r="G77" t="inlineStr">
        <is>
          <t>HANINGE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18491-2025</t>
        </is>
      </c>
      <c r="B78" t="inlineStr">
        <is>
          <t>avverkningsanmälan</t>
        </is>
      </c>
      <c r="C78" t="inlineStr">
        <is>
          <t>Föryngringsavverkning</t>
        </is>
      </c>
      <c r="D78" s="1" t="n">
        <v>45763</v>
      </c>
      <c r="E78" s="1" t="n">
        <v>46284</v>
      </c>
      <c r="F78" t="inlineStr">
        <is>
          <t>STOCKHOLMS LÄN</t>
        </is>
      </c>
      <c r="G78" t="inlineStr">
        <is>
          <t>HANINGE</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32486-2026</t>
        </is>
      </c>
      <c r="B79" t="inlineStr">
        <is>
          <t>avverkningsanmälan</t>
        </is>
      </c>
      <c r="C79" t="inlineStr">
        <is>
          <t>Föryngringsavverkning</t>
        </is>
      </c>
      <c r="D79" s="1" t="n">
        <v>46239</v>
      </c>
      <c r="E79" s="1" t="n">
        <v>46284</v>
      </c>
      <c r="F79" t="inlineStr">
        <is>
          <t>STOCKHOLMS LÄN</t>
        </is>
      </c>
      <c r="G79" t="inlineStr">
        <is>
          <t>HANINGE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24193-2025</t>
        </is>
      </c>
      <c r="B80" t="inlineStr">
        <is>
          <t>avverkningsanmälan</t>
        </is>
      </c>
      <c r="C80" t="inlineStr">
        <is>
          <t>Föryngringsavverkning</t>
        </is>
      </c>
      <c r="D80" s="1" t="n">
        <v>45796</v>
      </c>
      <c r="E80" s="1" t="n">
        <v>46284</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64075-2023</t>
        </is>
      </c>
      <c r="B81" t="inlineStr">
        <is>
          <t>avverkningsanmälan</t>
        </is>
      </c>
      <c r="C81" t="inlineStr">
        <is>
          <t>Föryngringsavverkning</t>
        </is>
      </c>
      <c r="D81" s="1" t="n">
        <v>45279</v>
      </c>
      <c r="E81" s="1" t="n">
        <v>46284</v>
      </c>
      <c r="F81" t="inlineStr">
        <is>
          <t>STOCKHOLMS LÄN</t>
        </is>
      </c>
      <c r="G81" t="inlineStr">
        <is>
          <t>HANINGE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27596-2025</t>
        </is>
      </c>
      <c r="B82" t="inlineStr">
        <is>
          <t>avverkningsanmälan</t>
        </is>
      </c>
      <c r="C82" t="inlineStr">
        <is>
          <t>Avverkning för att bevara och utveckla /försöksver</t>
        </is>
      </c>
      <c r="D82" s="1" t="n">
        <v>45813</v>
      </c>
      <c r="E82" s="1" t="n">
        <v>46284</v>
      </c>
      <c r="F82" t="inlineStr">
        <is>
          <t>STOCKHOLMS LÄN</t>
        </is>
      </c>
      <c r="G82" t="inlineStr">
        <is>
          <t>HANINGE</t>
        </is>
      </c>
      <c r="I82" t="n">
        <v>0.1</v>
      </c>
      <c r="J82" t="n">
        <v>0</v>
      </c>
      <c r="K82" t="n">
        <v>0</v>
      </c>
      <c r="L82" t="n">
        <v>0</v>
      </c>
      <c r="M82" t="n">
        <v>0</v>
      </c>
      <c r="N82" t="n">
        <v>0</v>
      </c>
      <c r="O82" t="n">
        <v>0</v>
      </c>
      <c r="P82" t="n">
        <v>0</v>
      </c>
      <c r="Q82" t="n">
        <v>0</v>
      </c>
      <c r="R82" t="n">
        <v>0</v>
      </c>
      <c r="S82" t="n">
        <v>0</v>
      </c>
      <c r="T82" t="n">
        <v>0</v>
      </c>
      <c r="U82" t="n">
        <v>0</v>
      </c>
      <c r="V82" s="2" t="inlineStr"/>
    </row>
    <row r="83" ht="15" customHeight="1">
      <c r="A83" t="inlineStr">
        <is>
          <t>A 14264-2025</t>
        </is>
      </c>
      <c r="B83" t="inlineStr">
        <is>
          <t>avverkningsanmälan</t>
        </is>
      </c>
      <c r="C83" t="inlineStr">
        <is>
          <t>Föryngringsavverkning</t>
        </is>
      </c>
      <c r="D83" s="1" t="n">
        <v>45740</v>
      </c>
      <c r="E83" s="1" t="n">
        <v>46284</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46284</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2026-09-19T02:01:51Z</dcterms:created>
  <dcterms:modified xmlns:dcterms="http://purl.org/dc/terms/" xmlns:xsi="http://www.w3.org/2001/XMLSchema-instance" xsi:type="dcterms:W3CDTF">2026-09-19T02:01:51Z</dcterms:modified>
</cp:coreProperties>
</file>