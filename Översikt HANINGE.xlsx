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45933</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45933</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45933</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45933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45933</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57469-2020</t>
        </is>
      </c>
      <c r="B12" s="1" t="n">
        <v>44139</v>
      </c>
      <c r="C12" s="1" t="n">
        <v>45933</v>
      </c>
      <c r="D12" t="inlineStr">
        <is>
          <t>STOCKHOLMS LÄN</t>
        </is>
      </c>
      <c r="E12" t="inlineStr">
        <is>
          <t>HANINGE</t>
        </is>
      </c>
      <c r="G12" t="n">
        <v>12.8</v>
      </c>
      <c r="H12" t="n">
        <v>1</v>
      </c>
      <c r="I12" t="n">
        <v>6</v>
      </c>
      <c r="J12" t="n">
        <v>0</v>
      </c>
      <c r="K12" t="n">
        <v>0</v>
      </c>
      <c r="L12" t="n">
        <v>0</v>
      </c>
      <c r="M12" t="n">
        <v>0</v>
      </c>
      <c r="N12" t="n">
        <v>0</v>
      </c>
      <c r="O12" t="n">
        <v>0</v>
      </c>
      <c r="P12" t="n">
        <v>0</v>
      </c>
      <c r="Q12" t="n">
        <v>6</v>
      </c>
      <c r="R12" s="2" t="inlineStr">
        <is>
          <t>Bronshjon
Grön sköldmossa
Skogshakmossa
Stubbspretmossa
Vedticka
Vågbandad barkbock</t>
        </is>
      </c>
      <c r="S12">
        <f>HYPERLINK("https://klasma.github.io/Logging_0136/artfynd/A 57469-2020 artfynd.xlsx", "A 57469-2020")</f>
        <v/>
      </c>
      <c r="T12">
        <f>HYPERLINK("https://klasma.github.io/Logging_0136/kartor/A 57469-2020 karta.png", "A 57469-2020")</f>
        <v/>
      </c>
      <c r="V12">
        <f>HYPERLINK("https://klasma.github.io/Logging_0136/klagomål/A 57469-2020 FSC-klagomål.docx", "A 57469-2020")</f>
        <v/>
      </c>
      <c r="W12">
        <f>HYPERLINK("https://klasma.github.io/Logging_0136/klagomålsmail/A 57469-2020 FSC-klagomål mail.docx", "A 57469-2020")</f>
        <v/>
      </c>
      <c r="X12">
        <f>HYPERLINK("https://klasma.github.io/Logging_0136/tillsyn/A 57469-2020 tillsynsbegäran.docx", "A 57469-2020")</f>
        <v/>
      </c>
      <c r="Y12">
        <f>HYPERLINK("https://klasma.github.io/Logging_0136/tillsynsmail/A 57469-2020 tillsynsbegäran mail.docx", "A 57469-2020")</f>
        <v/>
      </c>
    </row>
    <row r="13" ht="15" customHeight="1">
      <c r="A13" t="inlineStr">
        <is>
          <t>A 7331-2025</t>
        </is>
      </c>
      <c r="B13" s="1" t="n">
        <v>45703.33508101852</v>
      </c>
      <c r="C13" s="1" t="n">
        <v>45933</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45933</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45933</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45933</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24189-2025</t>
        </is>
      </c>
      <c r="B18" s="1" t="n">
        <v>45796.84584490741</v>
      </c>
      <c r="C18" s="1" t="n">
        <v>45933</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1424-2021</t>
        </is>
      </c>
      <c r="B19" s="1" t="n">
        <v>44208</v>
      </c>
      <c r="C19" s="1" t="n">
        <v>45933</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45933</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45933</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45933</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68883-2021</t>
        </is>
      </c>
      <c r="B23" s="1" t="n">
        <v>44526</v>
      </c>
      <c r="C23" s="1" t="n">
        <v>45933</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45933</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45933</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45933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45933</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45933</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45933</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45933</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45933</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45933</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45933</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45933</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45933</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45933</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45933</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45933</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45933</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45933</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45933</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45933</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45933</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45933</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45933</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1703-2023</t>
        </is>
      </c>
      <c r="B47" s="1" t="n">
        <v>44938.44412037037</v>
      </c>
      <c r="C47" s="1" t="n">
        <v>45933</v>
      </c>
      <c r="D47" t="inlineStr">
        <is>
          <t>STOCKHOLMS LÄN</t>
        </is>
      </c>
      <c r="E47" t="inlineStr">
        <is>
          <t>HANINGE</t>
        </is>
      </c>
      <c r="G47" t="n">
        <v>1.8</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45933</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45933</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17765-2024</t>
        </is>
      </c>
      <c r="B50" s="1" t="n">
        <v>45418.63149305555</v>
      </c>
      <c r="C50" s="1" t="n">
        <v>45933</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45933</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27596-2025</t>
        </is>
      </c>
      <c r="B52" s="1" t="n">
        <v>45813.52303240741</v>
      </c>
      <c r="C52" s="1" t="n">
        <v>45933</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25584-2023</t>
        </is>
      </c>
      <c r="B53" s="1" t="n">
        <v>45089</v>
      </c>
      <c r="C53" s="1" t="n">
        <v>45933</v>
      </c>
      <c r="D53" t="inlineStr">
        <is>
          <t>STOCKHOLMS LÄN</t>
        </is>
      </c>
      <c r="E53" t="inlineStr">
        <is>
          <t>HANINGE</t>
        </is>
      </c>
      <c r="G53" t="n">
        <v>4.8</v>
      </c>
      <c r="H53" t="n">
        <v>0</v>
      </c>
      <c r="I53" t="n">
        <v>0</v>
      </c>
      <c r="J53" t="n">
        <v>0</v>
      </c>
      <c r="K53" t="n">
        <v>0</v>
      </c>
      <c r="L53" t="n">
        <v>0</v>
      </c>
      <c r="M53" t="n">
        <v>0</v>
      </c>
      <c r="N53" t="n">
        <v>0</v>
      </c>
      <c r="O53" t="n">
        <v>0</v>
      </c>
      <c r="P53" t="n">
        <v>0</v>
      </c>
      <c r="Q53" t="n">
        <v>0</v>
      </c>
      <c r="R53" s="2" t="inlineStr"/>
    </row>
    <row r="54" ht="15" customHeight="1">
      <c r="A54" t="inlineStr">
        <is>
          <t>A 3156-2025</t>
        </is>
      </c>
      <c r="B54" s="1" t="n">
        <v>45679.32142361111</v>
      </c>
      <c r="C54" s="1" t="n">
        <v>45933</v>
      </c>
      <c r="D54" t="inlineStr">
        <is>
          <t>STOCKHOLMS LÄN</t>
        </is>
      </c>
      <c r="E54" t="inlineStr">
        <is>
          <t>HANINGE</t>
        </is>
      </c>
      <c r="G54" t="n">
        <v>3.3</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45933</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18491-2025</t>
        </is>
      </c>
      <c r="B56" s="1" t="n">
        <v>45763.34135416667</v>
      </c>
      <c r="C56" s="1" t="n">
        <v>45933</v>
      </c>
      <c r="D56" t="inlineStr">
        <is>
          <t>STOCKHOLMS LÄN</t>
        </is>
      </c>
      <c r="E56" t="inlineStr">
        <is>
          <t>HANINGE</t>
        </is>
      </c>
      <c r="G56" t="n">
        <v>0.5</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45933</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45933</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45933</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20527-2025</t>
        </is>
      </c>
      <c r="B60" s="1" t="n">
        <v>45775.60663194444</v>
      </c>
      <c r="C60" s="1" t="n">
        <v>45933</v>
      </c>
      <c r="D60" t="inlineStr">
        <is>
          <t>STOCKHOLMS LÄN</t>
        </is>
      </c>
      <c r="E60" t="inlineStr">
        <is>
          <t>HANINGE</t>
        </is>
      </c>
      <c r="G60" t="n">
        <v>2.1</v>
      </c>
      <c r="H60" t="n">
        <v>0</v>
      </c>
      <c r="I60" t="n">
        <v>0</v>
      </c>
      <c r="J60" t="n">
        <v>0</v>
      </c>
      <c r="K60" t="n">
        <v>0</v>
      </c>
      <c r="L60" t="n">
        <v>0</v>
      </c>
      <c r="M60" t="n">
        <v>0</v>
      </c>
      <c r="N60" t="n">
        <v>0</v>
      </c>
      <c r="O60" t="n">
        <v>0</v>
      </c>
      <c r="P60" t="n">
        <v>0</v>
      </c>
      <c r="Q60" t="n">
        <v>0</v>
      </c>
      <c r="R60" s="2" t="inlineStr"/>
    </row>
    <row r="61" ht="15" customHeight="1">
      <c r="A61" t="inlineStr">
        <is>
          <t>A 58599-2023</t>
        </is>
      </c>
      <c r="B61" s="1" t="n">
        <v>45251.47721064815</v>
      </c>
      <c r="C61" s="1" t="n">
        <v>45933</v>
      </c>
      <c r="D61" t="inlineStr">
        <is>
          <t>STOCKHOLMS LÄN</t>
        </is>
      </c>
      <c r="E61" t="inlineStr">
        <is>
          <t>HANINGE</t>
        </is>
      </c>
      <c r="G61" t="n">
        <v>3.2</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45933</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45933</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1187-2024</t>
        </is>
      </c>
      <c r="B64" s="1" t="n">
        <v>45302.58045138889</v>
      </c>
      <c r="C64" s="1" t="n">
        <v>45933</v>
      </c>
      <c r="D64" t="inlineStr">
        <is>
          <t>STOCKHOLMS LÄN</t>
        </is>
      </c>
      <c r="E64" t="inlineStr">
        <is>
          <t>HANINGE</t>
        </is>
      </c>
      <c r="G64" t="n">
        <v>1.5</v>
      </c>
      <c r="H64" t="n">
        <v>0</v>
      </c>
      <c r="I64" t="n">
        <v>0</v>
      </c>
      <c r="J64" t="n">
        <v>0</v>
      </c>
      <c r="K64" t="n">
        <v>0</v>
      </c>
      <c r="L64" t="n">
        <v>0</v>
      </c>
      <c r="M64" t="n">
        <v>0</v>
      </c>
      <c r="N64" t="n">
        <v>0</v>
      </c>
      <c r="O64" t="n">
        <v>0</v>
      </c>
      <c r="P64" t="n">
        <v>0</v>
      </c>
      <c r="Q64" t="n">
        <v>0</v>
      </c>
      <c r="R64" s="2" t="inlineStr"/>
    </row>
    <row r="65" ht="15" customHeight="1">
      <c r="A65" t="inlineStr">
        <is>
          <t>A 14264-2025</t>
        </is>
      </c>
      <c r="B65" s="1" t="n">
        <v>45740.6340162037</v>
      </c>
      <c r="C65" s="1" t="n">
        <v>45933</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38880-2025</t>
        </is>
      </c>
      <c r="B66" s="1" t="n">
        <v>45887.57966435186</v>
      </c>
      <c r="C66" s="1" t="n">
        <v>45933</v>
      </c>
      <c r="D66" t="inlineStr">
        <is>
          <t>STOCKHOLMS LÄN</t>
        </is>
      </c>
      <c r="E66" t="inlineStr">
        <is>
          <t>HANINGE</t>
        </is>
      </c>
      <c r="G66" t="n">
        <v>3.2</v>
      </c>
      <c r="H66" t="n">
        <v>0</v>
      </c>
      <c r="I66" t="n">
        <v>0</v>
      </c>
      <c r="J66" t="n">
        <v>0</v>
      </c>
      <c r="K66" t="n">
        <v>0</v>
      </c>
      <c r="L66" t="n">
        <v>0</v>
      </c>
      <c r="M66" t="n">
        <v>0</v>
      </c>
      <c r="N66" t="n">
        <v>0</v>
      </c>
      <c r="O66" t="n">
        <v>0</v>
      </c>
      <c r="P66" t="n">
        <v>0</v>
      </c>
      <c r="Q66" t="n">
        <v>0</v>
      </c>
      <c r="R66" s="2" t="inlineStr"/>
    </row>
    <row r="67" ht="15" customHeight="1">
      <c r="A67" t="inlineStr">
        <is>
          <t>A 1180-2024</t>
        </is>
      </c>
      <c r="B67" s="1" t="n">
        <v>45302</v>
      </c>
      <c r="C67" s="1" t="n">
        <v>45933</v>
      </c>
      <c r="D67" t="inlineStr">
        <is>
          <t>STOCKHOLMS LÄN</t>
        </is>
      </c>
      <c r="E67" t="inlineStr">
        <is>
          <t>HANINGE</t>
        </is>
      </c>
      <c r="G67" t="n">
        <v>2</v>
      </c>
      <c r="H67" t="n">
        <v>0</v>
      </c>
      <c r="I67" t="n">
        <v>0</v>
      </c>
      <c r="J67" t="n">
        <v>0</v>
      </c>
      <c r="K67" t="n">
        <v>0</v>
      </c>
      <c r="L67" t="n">
        <v>0</v>
      </c>
      <c r="M67" t="n">
        <v>0</v>
      </c>
      <c r="N67" t="n">
        <v>0</v>
      </c>
      <c r="O67" t="n">
        <v>0</v>
      </c>
      <c r="P67" t="n">
        <v>0</v>
      </c>
      <c r="Q67" t="n">
        <v>0</v>
      </c>
      <c r="R67" s="2" t="inlineStr"/>
    </row>
    <row r="68" ht="15" customHeight="1">
      <c r="A68" t="inlineStr">
        <is>
          <t>A 8163-2024</t>
        </is>
      </c>
      <c r="B68" s="1" t="n">
        <v>45351.60337962963</v>
      </c>
      <c r="C68" s="1" t="n">
        <v>45933</v>
      </c>
      <c r="D68" t="inlineStr">
        <is>
          <t>STOCKHOLMS LÄN</t>
        </is>
      </c>
      <c r="E68" t="inlineStr">
        <is>
          <t>HANINGE</t>
        </is>
      </c>
      <c r="F68" t="inlineStr">
        <is>
          <t>Kommuner</t>
        </is>
      </c>
      <c r="G68" t="n">
        <v>3.8</v>
      </c>
      <c r="H68" t="n">
        <v>0</v>
      </c>
      <c r="I68" t="n">
        <v>0</v>
      </c>
      <c r="J68" t="n">
        <v>0</v>
      </c>
      <c r="K68" t="n">
        <v>0</v>
      </c>
      <c r="L68" t="n">
        <v>0</v>
      </c>
      <c r="M68" t="n">
        <v>0</v>
      </c>
      <c r="N68" t="n">
        <v>0</v>
      </c>
      <c r="O68" t="n">
        <v>0</v>
      </c>
      <c r="P68" t="n">
        <v>0</v>
      </c>
      <c r="Q68" t="n">
        <v>0</v>
      </c>
      <c r="R68" s="2" t="inlineStr"/>
    </row>
    <row r="69" ht="15" customHeight="1">
      <c r="A69" t="inlineStr">
        <is>
          <t>A 1184-2024</t>
        </is>
      </c>
      <c r="B69" s="1" t="n">
        <v>45302.57663194444</v>
      </c>
      <c r="C69" s="1" t="n">
        <v>45933</v>
      </c>
      <c r="D69" t="inlineStr">
        <is>
          <t>STOCKHOLMS LÄN</t>
        </is>
      </c>
      <c r="E69" t="inlineStr">
        <is>
          <t>HANINGE</t>
        </is>
      </c>
      <c r="G69" t="n">
        <v>3.6</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45933</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18490-2025</t>
        </is>
      </c>
      <c r="B71" s="1" t="n">
        <v>45763</v>
      </c>
      <c r="C71" s="1" t="n">
        <v>45933</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17020-2022</t>
        </is>
      </c>
      <c r="B72" s="1" t="n">
        <v>44676</v>
      </c>
      <c r="C72" s="1" t="n">
        <v>45933</v>
      </c>
      <c r="D72" t="inlineStr">
        <is>
          <t>STOCKHOLMS LÄN</t>
        </is>
      </c>
      <c r="E72" t="inlineStr">
        <is>
          <t>HANINGE</t>
        </is>
      </c>
      <c r="F72" t="inlineStr">
        <is>
          <t>Övriga statliga verk och myndigheter</t>
        </is>
      </c>
      <c r="G72" t="n">
        <v>12.4</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45933</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50306-2023</t>
        </is>
      </c>
      <c r="B74" s="1" t="n">
        <v>45209</v>
      </c>
      <c r="C74" s="1" t="n">
        <v>45933</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c r="U74">
        <f>HYPERLINK("https://klasma.github.io/Logging_0136/knärot/A 50306-2023 karta knärot.png", "A 50306-2023")</f>
        <v/>
      </c>
      <c r="V74">
        <f>HYPERLINK("https://klasma.github.io/Logging_0136/klagomål/A 50306-2023 FSC-klagomål.docx", "A 50306-2023")</f>
        <v/>
      </c>
      <c r="W74">
        <f>HYPERLINK("https://klasma.github.io/Logging_0136/klagomålsmail/A 50306-2023 FSC-klagomål mail.docx", "A 50306-2023")</f>
        <v/>
      </c>
      <c r="X74">
        <f>HYPERLINK("https://klasma.github.io/Logging_0136/tillsyn/A 50306-2023 tillsynsbegäran.docx", "A 50306-2023")</f>
        <v/>
      </c>
      <c r="Y74">
        <f>HYPERLINK("https://klasma.github.io/Logging_0136/tillsynsmail/A 50306-2023 tillsynsbegäran mail.docx", "A 50306-2023")</f>
        <v/>
      </c>
    </row>
    <row r="75" ht="15" customHeight="1">
      <c r="A75" t="inlineStr">
        <is>
          <t>A 22288-2023</t>
        </is>
      </c>
      <c r="B75" s="1" t="n">
        <v>45070</v>
      </c>
      <c r="C75" s="1" t="n">
        <v>45933</v>
      </c>
      <c r="D75" t="inlineStr">
        <is>
          <t>STOCKHOLMS LÄN</t>
        </is>
      </c>
      <c r="E75" t="inlineStr">
        <is>
          <t>HANINGE</t>
        </is>
      </c>
      <c r="G75" t="n">
        <v>2.8</v>
      </c>
      <c r="H75" t="n">
        <v>0</v>
      </c>
      <c r="I75" t="n">
        <v>0</v>
      </c>
      <c r="J75" t="n">
        <v>0</v>
      </c>
      <c r="K75" t="n">
        <v>0</v>
      </c>
      <c r="L75" t="n">
        <v>0</v>
      </c>
      <c r="M75" t="n">
        <v>0</v>
      </c>
      <c r="N75" t="n">
        <v>0</v>
      </c>
      <c r="O75" t="n">
        <v>0</v>
      </c>
      <c r="P75" t="n">
        <v>0</v>
      </c>
      <c r="Q75" t="n">
        <v>0</v>
      </c>
      <c r="R75" s="2" t="inlineStr"/>
    </row>
    <row r="76" ht="15" customHeight="1">
      <c r="A76" t="inlineStr">
        <is>
          <t>A 64568-2023</t>
        </is>
      </c>
      <c r="B76" s="1" t="n">
        <v>45281.43164351852</v>
      </c>
      <c r="C76" s="1" t="n">
        <v>45933</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33792-2023</t>
        </is>
      </c>
      <c r="B77" s="1" t="n">
        <v>45121</v>
      </c>
      <c r="C77" s="1" t="n">
        <v>45933</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18548-2024</t>
        </is>
      </c>
      <c r="B78" s="1" t="n">
        <v>45425.64708333334</v>
      </c>
      <c r="C78" s="1" t="n">
        <v>45933</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45933</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20839-2024</t>
        </is>
      </c>
      <c r="B80" s="1" t="n">
        <v>45439.39953703704</v>
      </c>
      <c r="C80" s="1" t="n">
        <v>45933</v>
      </c>
      <c r="D80" t="inlineStr">
        <is>
          <t>STOCKHOLMS LÄN</t>
        </is>
      </c>
      <c r="E80" t="inlineStr">
        <is>
          <t>HANINGE</t>
        </is>
      </c>
      <c r="G80" t="n">
        <v>8.4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45933</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18512-2024</t>
        </is>
      </c>
      <c r="B82" s="1" t="n">
        <v>45425.59938657407</v>
      </c>
      <c r="C82" s="1" t="n">
        <v>45933</v>
      </c>
      <c r="D82" t="inlineStr">
        <is>
          <t>STOCKHOLMS LÄN</t>
        </is>
      </c>
      <c r="E82" t="inlineStr">
        <is>
          <t>HANINGE</t>
        </is>
      </c>
      <c r="F82" t="inlineStr">
        <is>
          <t>Kommuner</t>
        </is>
      </c>
      <c r="G82" t="n">
        <v>0.7</v>
      </c>
      <c r="H82" t="n">
        <v>0</v>
      </c>
      <c r="I82" t="n">
        <v>0</v>
      </c>
      <c r="J82" t="n">
        <v>0</v>
      </c>
      <c r="K82" t="n">
        <v>0</v>
      </c>
      <c r="L82" t="n">
        <v>0</v>
      </c>
      <c r="M82" t="n">
        <v>0</v>
      </c>
      <c r="N82" t="n">
        <v>0</v>
      </c>
      <c r="O82" t="n">
        <v>0</v>
      </c>
      <c r="P82" t="n">
        <v>0</v>
      </c>
      <c r="Q82" t="n">
        <v>0</v>
      </c>
      <c r="R82" s="2" t="inlineStr"/>
    </row>
    <row r="83" ht="15" customHeight="1">
      <c r="A83" t="inlineStr">
        <is>
          <t>A 13046-2022</t>
        </is>
      </c>
      <c r="B83" s="1" t="n">
        <v>44643</v>
      </c>
      <c r="C83" s="1" t="n">
        <v>45933</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4297-2024</t>
        </is>
      </c>
      <c r="B84" s="1" t="n">
        <v>45324.62291666667</v>
      </c>
      <c r="C84" s="1" t="n">
        <v>45933</v>
      </c>
      <c r="D84" t="inlineStr">
        <is>
          <t>STOCKHOLMS LÄN</t>
        </is>
      </c>
      <c r="E84" t="inlineStr">
        <is>
          <t>HANINGE</t>
        </is>
      </c>
      <c r="F84" t="inlineStr">
        <is>
          <t>Kommuner</t>
        </is>
      </c>
      <c r="G84" t="n">
        <v>0.4</v>
      </c>
      <c r="H84" t="n">
        <v>0</v>
      </c>
      <c r="I84" t="n">
        <v>0</v>
      </c>
      <c r="J84" t="n">
        <v>0</v>
      </c>
      <c r="K84" t="n">
        <v>0</v>
      </c>
      <c r="L84" t="n">
        <v>0</v>
      </c>
      <c r="M84" t="n">
        <v>0</v>
      </c>
      <c r="N84" t="n">
        <v>0</v>
      </c>
      <c r="O84" t="n">
        <v>0</v>
      </c>
      <c r="P84" t="n">
        <v>0</v>
      </c>
      <c r="Q84" t="n">
        <v>0</v>
      </c>
      <c r="R84" s="2" t="inlineStr"/>
    </row>
    <row r="85" ht="15" customHeight="1">
      <c r="A85" t="inlineStr">
        <is>
          <t>A 8078-2024</t>
        </is>
      </c>
      <c r="B85" s="1" t="n">
        <v>45351.43737268518</v>
      </c>
      <c r="C85" s="1" t="n">
        <v>45933</v>
      </c>
      <c r="D85" t="inlineStr">
        <is>
          <t>STOCKHOLMS LÄN</t>
        </is>
      </c>
      <c r="E85" t="inlineStr">
        <is>
          <t>HANINGE</t>
        </is>
      </c>
      <c r="F85" t="inlineStr">
        <is>
          <t>Kommuner</t>
        </is>
      </c>
      <c r="G85" t="n">
        <v>1.4</v>
      </c>
      <c r="H85" t="n">
        <v>0</v>
      </c>
      <c r="I85" t="n">
        <v>0</v>
      </c>
      <c r="J85" t="n">
        <v>0</v>
      </c>
      <c r="K85" t="n">
        <v>0</v>
      </c>
      <c r="L85" t="n">
        <v>0</v>
      </c>
      <c r="M85" t="n">
        <v>0</v>
      </c>
      <c r="N85" t="n">
        <v>0</v>
      </c>
      <c r="O85" t="n">
        <v>0</v>
      </c>
      <c r="P85" t="n">
        <v>0</v>
      </c>
      <c r="Q85" t="n">
        <v>0</v>
      </c>
      <c r="R85" s="2" t="inlineStr"/>
    </row>
    <row r="86" ht="15" customHeight="1">
      <c r="A86" t="inlineStr">
        <is>
          <t>A 24873-2023</t>
        </is>
      </c>
      <c r="B86" s="1" t="n">
        <v>45085</v>
      </c>
      <c r="C86" s="1" t="n">
        <v>45933</v>
      </c>
      <c r="D86" t="inlineStr">
        <is>
          <t>STOCKHOLMS LÄN</t>
        </is>
      </c>
      <c r="E86" t="inlineStr">
        <is>
          <t>HANINGE</t>
        </is>
      </c>
      <c r="G86" t="n">
        <v>1.9</v>
      </c>
      <c r="H86" t="n">
        <v>0</v>
      </c>
      <c r="I86" t="n">
        <v>0</v>
      </c>
      <c r="J86" t="n">
        <v>0</v>
      </c>
      <c r="K86" t="n">
        <v>0</v>
      </c>
      <c r="L86" t="n">
        <v>0</v>
      </c>
      <c r="M86" t="n">
        <v>0</v>
      </c>
      <c r="N86" t="n">
        <v>0</v>
      </c>
      <c r="O86" t="n">
        <v>0</v>
      </c>
      <c r="P86" t="n">
        <v>0</v>
      </c>
      <c r="Q86" t="n">
        <v>0</v>
      </c>
      <c r="R86" s="2" t="inlineStr"/>
    </row>
    <row r="87" ht="15" customHeight="1">
      <c r="A87" t="inlineStr">
        <is>
          <t>A 52773-2024</t>
        </is>
      </c>
      <c r="B87" s="1" t="n">
        <v>45610.53207175926</v>
      </c>
      <c r="C87" s="1" t="n">
        <v>45933</v>
      </c>
      <c r="D87" t="inlineStr">
        <is>
          <t>STOCKHOLMS LÄN</t>
        </is>
      </c>
      <c r="E87" t="inlineStr">
        <is>
          <t>HANINGE</t>
        </is>
      </c>
      <c r="G87" t="n">
        <v>0.7</v>
      </c>
      <c r="H87" t="n">
        <v>0</v>
      </c>
      <c r="I87" t="n">
        <v>0</v>
      </c>
      <c r="J87" t="n">
        <v>0</v>
      </c>
      <c r="K87" t="n">
        <v>0</v>
      </c>
      <c r="L87" t="n">
        <v>0</v>
      </c>
      <c r="M87" t="n">
        <v>0</v>
      </c>
      <c r="N87" t="n">
        <v>0</v>
      </c>
      <c r="O87" t="n">
        <v>0</v>
      </c>
      <c r="P87" t="n">
        <v>0</v>
      </c>
      <c r="Q87" t="n">
        <v>0</v>
      </c>
      <c r="R87" s="2" t="inlineStr"/>
    </row>
    <row r="88" ht="15" customHeight="1">
      <c r="A88" t="inlineStr">
        <is>
          <t>A 23666-2024</t>
        </is>
      </c>
      <c r="B88" s="1" t="n">
        <v>45454.57909722222</v>
      </c>
      <c r="C88" s="1" t="n">
        <v>45933</v>
      </c>
      <c r="D88" t="inlineStr">
        <is>
          <t>STOCKHOLMS LÄN</t>
        </is>
      </c>
      <c r="E88" t="inlineStr">
        <is>
          <t>HANINGE</t>
        </is>
      </c>
      <c r="G88" t="n">
        <v>0.8</v>
      </c>
      <c r="H88" t="n">
        <v>0</v>
      </c>
      <c r="I88" t="n">
        <v>0</v>
      </c>
      <c r="J88" t="n">
        <v>0</v>
      </c>
      <c r="K88" t="n">
        <v>0</v>
      </c>
      <c r="L88" t="n">
        <v>0</v>
      </c>
      <c r="M88" t="n">
        <v>0</v>
      </c>
      <c r="N88" t="n">
        <v>0</v>
      </c>
      <c r="O88" t="n">
        <v>0</v>
      </c>
      <c r="P88" t="n">
        <v>0</v>
      </c>
      <c r="Q88" t="n">
        <v>0</v>
      </c>
      <c r="R88" s="2" t="inlineStr"/>
    </row>
    <row r="89" ht="15" customHeight="1">
      <c r="A89" t="inlineStr">
        <is>
          <t>A 9946-2024</t>
        </is>
      </c>
      <c r="B89" s="1" t="n">
        <v>45363.59789351852</v>
      </c>
      <c r="C89" s="1" t="n">
        <v>45933</v>
      </c>
      <c r="D89" t="inlineStr">
        <is>
          <t>STOCKHOLMS LÄN</t>
        </is>
      </c>
      <c r="E89" t="inlineStr">
        <is>
          <t>HANINGE</t>
        </is>
      </c>
      <c r="G89" t="n">
        <v>3.8</v>
      </c>
      <c r="H89" t="n">
        <v>0</v>
      </c>
      <c r="I89" t="n">
        <v>0</v>
      </c>
      <c r="J89" t="n">
        <v>0</v>
      </c>
      <c r="K89" t="n">
        <v>0</v>
      </c>
      <c r="L89" t="n">
        <v>0</v>
      </c>
      <c r="M89" t="n">
        <v>0</v>
      </c>
      <c r="N89" t="n">
        <v>0</v>
      </c>
      <c r="O89" t="n">
        <v>0</v>
      </c>
      <c r="P89" t="n">
        <v>0</v>
      </c>
      <c r="Q89" t="n">
        <v>0</v>
      </c>
      <c r="R89" s="2" t="inlineStr"/>
    </row>
    <row r="90" ht="15" customHeight="1">
      <c r="A90" t="inlineStr">
        <is>
          <t>A 52770-2024</t>
        </is>
      </c>
      <c r="B90" s="1" t="n">
        <v>45610.52414351852</v>
      </c>
      <c r="C90" s="1" t="n">
        <v>45933</v>
      </c>
      <c r="D90" t="inlineStr">
        <is>
          <t>STOCKHOLMS LÄN</t>
        </is>
      </c>
      <c r="E90" t="inlineStr">
        <is>
          <t>HANINGE</t>
        </is>
      </c>
      <c r="G90" t="n">
        <v>2.3</v>
      </c>
      <c r="H90" t="n">
        <v>0</v>
      </c>
      <c r="I90" t="n">
        <v>0</v>
      </c>
      <c r="J90" t="n">
        <v>0</v>
      </c>
      <c r="K90" t="n">
        <v>0</v>
      </c>
      <c r="L90" t="n">
        <v>0</v>
      </c>
      <c r="M90" t="n">
        <v>0</v>
      </c>
      <c r="N90" t="n">
        <v>0</v>
      </c>
      <c r="O90" t="n">
        <v>0</v>
      </c>
      <c r="P90" t="n">
        <v>0</v>
      </c>
      <c r="Q90" t="n">
        <v>0</v>
      </c>
      <c r="R90" s="2" t="inlineStr"/>
    </row>
    <row r="91" ht="15" customHeight="1">
      <c r="A91" t="inlineStr">
        <is>
          <t>A 52836-2024</t>
        </is>
      </c>
      <c r="B91" s="1" t="n">
        <v>45610.59637731482</v>
      </c>
      <c r="C91" s="1" t="n">
        <v>45933</v>
      </c>
      <c r="D91" t="inlineStr">
        <is>
          <t>STOCKHOLMS LÄN</t>
        </is>
      </c>
      <c r="E91" t="inlineStr">
        <is>
          <t>HANINGE</t>
        </is>
      </c>
      <c r="G91" t="n">
        <v>1</v>
      </c>
      <c r="H91" t="n">
        <v>0</v>
      </c>
      <c r="I91" t="n">
        <v>0</v>
      </c>
      <c r="J91" t="n">
        <v>0</v>
      </c>
      <c r="K91" t="n">
        <v>0</v>
      </c>
      <c r="L91" t="n">
        <v>0</v>
      </c>
      <c r="M91" t="n">
        <v>0</v>
      </c>
      <c r="N91" t="n">
        <v>0</v>
      </c>
      <c r="O91" t="n">
        <v>0</v>
      </c>
      <c r="P91" t="n">
        <v>0</v>
      </c>
      <c r="Q91" t="n">
        <v>0</v>
      </c>
      <c r="R91" s="2" t="inlineStr"/>
    </row>
    <row r="92" ht="15" customHeight="1">
      <c r="A92" t="inlineStr">
        <is>
          <t>A 5474-2024</t>
        </is>
      </c>
      <c r="B92" s="1" t="n">
        <v>45333.51131944444</v>
      </c>
      <c r="C92" s="1" t="n">
        <v>45933</v>
      </c>
      <c r="D92" t="inlineStr">
        <is>
          <t>STOCKHOLMS LÄN</t>
        </is>
      </c>
      <c r="E92" t="inlineStr">
        <is>
          <t>HANINGE</t>
        </is>
      </c>
      <c r="F92" t="inlineStr">
        <is>
          <t>Kommuner</t>
        </is>
      </c>
      <c r="G92" t="n">
        <v>0.9</v>
      </c>
      <c r="H92" t="n">
        <v>0</v>
      </c>
      <c r="I92" t="n">
        <v>0</v>
      </c>
      <c r="J92" t="n">
        <v>0</v>
      </c>
      <c r="K92" t="n">
        <v>0</v>
      </c>
      <c r="L92" t="n">
        <v>0</v>
      </c>
      <c r="M92" t="n">
        <v>0</v>
      </c>
      <c r="N92" t="n">
        <v>0</v>
      </c>
      <c r="O92" t="n">
        <v>0</v>
      </c>
      <c r="P92" t="n">
        <v>0</v>
      </c>
      <c r="Q92" t="n">
        <v>0</v>
      </c>
      <c r="R92" s="2" t="inlineStr"/>
    </row>
    <row r="93" ht="15" customHeight="1">
      <c r="A93" t="inlineStr">
        <is>
          <t>A 14900-2025</t>
        </is>
      </c>
      <c r="B93" s="1" t="n">
        <v>45743.48729166666</v>
      </c>
      <c r="C93" s="1" t="n">
        <v>45933</v>
      </c>
      <c r="D93" t="inlineStr">
        <is>
          <t>STOCKHOLMS LÄN</t>
        </is>
      </c>
      <c r="E93" t="inlineStr">
        <is>
          <t>HANINGE</t>
        </is>
      </c>
      <c r="G93" t="n">
        <v>4.5</v>
      </c>
      <c r="H93" t="n">
        <v>0</v>
      </c>
      <c r="I93" t="n">
        <v>0</v>
      </c>
      <c r="J93" t="n">
        <v>0</v>
      </c>
      <c r="K93" t="n">
        <v>0</v>
      </c>
      <c r="L93" t="n">
        <v>0</v>
      </c>
      <c r="M93" t="n">
        <v>0</v>
      </c>
      <c r="N93" t="n">
        <v>0</v>
      </c>
      <c r="O93" t="n">
        <v>0</v>
      </c>
      <c r="P93" t="n">
        <v>0</v>
      </c>
      <c r="Q93" t="n">
        <v>0</v>
      </c>
      <c r="R93" s="2" t="inlineStr"/>
    </row>
    <row r="94" ht="15" customHeight="1">
      <c r="A94" t="inlineStr">
        <is>
          <t>A 21231-2025</t>
        </is>
      </c>
      <c r="B94" s="1" t="n">
        <v>45779.54644675926</v>
      </c>
      <c r="C94" s="1" t="n">
        <v>45933</v>
      </c>
      <c r="D94" t="inlineStr">
        <is>
          <t>STOCKHOLMS LÄN</t>
        </is>
      </c>
      <c r="E94" t="inlineStr">
        <is>
          <t>HANINGE</t>
        </is>
      </c>
      <c r="G94" t="n">
        <v>4.3</v>
      </c>
      <c r="H94" t="n">
        <v>0</v>
      </c>
      <c r="I94" t="n">
        <v>0</v>
      </c>
      <c r="J94" t="n">
        <v>0</v>
      </c>
      <c r="K94" t="n">
        <v>0</v>
      </c>
      <c r="L94" t="n">
        <v>0</v>
      </c>
      <c r="M94" t="n">
        <v>0</v>
      </c>
      <c r="N94" t="n">
        <v>0</v>
      </c>
      <c r="O94" t="n">
        <v>0</v>
      </c>
      <c r="P94" t="n">
        <v>0</v>
      </c>
      <c r="Q94" t="n">
        <v>0</v>
      </c>
      <c r="R94" s="2" t="inlineStr"/>
    </row>
    <row r="95" ht="15" customHeight="1">
      <c r="A95" t="inlineStr">
        <is>
          <t>A 24115-2025</t>
        </is>
      </c>
      <c r="B95" s="1" t="n">
        <v>45796.61494212963</v>
      </c>
      <c r="C95" s="1" t="n">
        <v>45933</v>
      </c>
      <c r="D95" t="inlineStr">
        <is>
          <t>STOCKHOLMS LÄN</t>
        </is>
      </c>
      <c r="E95" t="inlineStr">
        <is>
          <t>HANINGE</t>
        </is>
      </c>
      <c r="G95" t="n">
        <v>2</v>
      </c>
      <c r="H95" t="n">
        <v>0</v>
      </c>
      <c r="I95" t="n">
        <v>0</v>
      </c>
      <c r="J95" t="n">
        <v>0</v>
      </c>
      <c r="K95" t="n">
        <v>0</v>
      </c>
      <c r="L95" t="n">
        <v>0</v>
      </c>
      <c r="M95" t="n">
        <v>0</v>
      </c>
      <c r="N95" t="n">
        <v>0</v>
      </c>
      <c r="O95" t="n">
        <v>0</v>
      </c>
      <c r="P95" t="n">
        <v>0</v>
      </c>
      <c r="Q95" t="n">
        <v>0</v>
      </c>
      <c r="R95" s="2" t="inlineStr"/>
    </row>
    <row r="96" ht="15" customHeight="1">
      <c r="A96" t="inlineStr">
        <is>
          <t>A 24191-2025</t>
        </is>
      </c>
      <c r="B96" s="1" t="n">
        <v>45796.86738425926</v>
      </c>
      <c r="C96" s="1" t="n">
        <v>45933</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24193-2025</t>
        </is>
      </c>
      <c r="B97" s="1" t="n">
        <v>45796.89591435185</v>
      </c>
      <c r="C97" s="1" t="n">
        <v>45933</v>
      </c>
      <c r="D97" t="inlineStr">
        <is>
          <t>STOCKHOLMS LÄN</t>
        </is>
      </c>
      <c r="E97" t="inlineStr">
        <is>
          <t>HANINGE</t>
        </is>
      </c>
      <c r="G97" t="n">
        <v>0.4</v>
      </c>
      <c r="H97" t="n">
        <v>0</v>
      </c>
      <c r="I97" t="n">
        <v>0</v>
      </c>
      <c r="J97" t="n">
        <v>0</v>
      </c>
      <c r="K97" t="n">
        <v>0</v>
      </c>
      <c r="L97" t="n">
        <v>0</v>
      </c>
      <c r="M97" t="n">
        <v>0</v>
      </c>
      <c r="N97" t="n">
        <v>0</v>
      </c>
      <c r="O97" t="n">
        <v>0</v>
      </c>
      <c r="P97" t="n">
        <v>0</v>
      </c>
      <c r="Q97" t="n">
        <v>0</v>
      </c>
      <c r="R97" s="2" t="inlineStr"/>
    </row>
    <row r="98">
      <c r="A98" t="inlineStr">
        <is>
          <t>A 64075-2023</t>
        </is>
      </c>
      <c r="B98" s="1" t="n">
        <v>45279</v>
      </c>
      <c r="C98" s="1" t="n">
        <v>45933</v>
      </c>
      <c r="D98" t="inlineStr">
        <is>
          <t>STOCKHOLMS LÄN</t>
        </is>
      </c>
      <c r="E98" t="inlineStr">
        <is>
          <t>HANINGE</t>
        </is>
      </c>
      <c r="G98" t="n">
        <v>2.6</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2025-10-03T12:32:14Z</dcterms:created>
  <dcterms:modified xmlns:dcterms="http://purl.org/dc/terms/" xmlns:xsi="http://www.w3.org/2001/XMLSchema-instance" xsi:type="dcterms:W3CDTF">2025-10-03T12:32:14Z</dcterms:modified>
</cp:coreProperties>
</file>