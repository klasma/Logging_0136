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45703</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45703</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45703</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13892-2020</t>
        </is>
      </c>
      <c r="B24" s="1" t="n">
        <v>43906</v>
      </c>
      <c r="C24" s="1" t="n">
        <v>45703</v>
      </c>
      <c r="D24" t="inlineStr">
        <is>
          <t>STOCKHOLMS LÄN</t>
        </is>
      </c>
      <c r="E24" t="inlineStr">
        <is>
          <t>HANINGE</t>
        </is>
      </c>
      <c r="G24" t="n">
        <v>2.7</v>
      </c>
      <c r="H24" t="n">
        <v>0</v>
      </c>
      <c r="I24" t="n">
        <v>1</v>
      </c>
      <c r="J24" t="n">
        <v>2</v>
      </c>
      <c r="K24" t="n">
        <v>0</v>
      </c>
      <c r="L24" t="n">
        <v>0</v>
      </c>
      <c r="M24" t="n">
        <v>0</v>
      </c>
      <c r="N24" t="n">
        <v>0</v>
      </c>
      <c r="O24" t="n">
        <v>2</v>
      </c>
      <c r="P24" t="n">
        <v>0</v>
      </c>
      <c r="Q24" t="n">
        <v>3</v>
      </c>
      <c r="R24" s="2" t="inlineStr">
        <is>
          <t>Ekticka
Ullticka
Fjällig taggsvamp s.str.</t>
        </is>
      </c>
      <c r="S24">
        <f>HYPERLINK("https://klasma.github.io/Logging_0136/artfynd/A 13892-2020 artfynd.xlsx", "A 13892-2020")</f>
        <v/>
      </c>
      <c r="T24">
        <f>HYPERLINK("https://klasma.github.io/Logging_0136/kartor/A 13892-2020 karta.png", "A 13892-2020")</f>
        <v/>
      </c>
      <c r="V24">
        <f>HYPERLINK("https://klasma.github.io/Logging_0136/klagomål/A 13892-2020 FSC-klagomål.docx", "A 13892-2020")</f>
        <v/>
      </c>
      <c r="W24">
        <f>HYPERLINK("https://klasma.github.io/Logging_0136/klagomålsmail/A 13892-2020 FSC-klagomål mail.docx", "A 13892-2020")</f>
        <v/>
      </c>
      <c r="X24">
        <f>HYPERLINK("https://klasma.github.io/Logging_0136/tillsyn/A 13892-2020 tillsynsbegäran.docx", "A 13892-2020")</f>
        <v/>
      </c>
      <c r="Y24">
        <f>HYPERLINK("https://klasma.github.io/Logging_0136/tillsynsmail/A 13892-2020 tillsynsbegäran mail.docx", "A 13892-2020")</f>
        <v/>
      </c>
    </row>
    <row r="25" ht="15" customHeight="1">
      <c r="A25" t="inlineStr">
        <is>
          <t>A 6646-2023</t>
        </is>
      </c>
      <c r="B25" s="1" t="n">
        <v>44966</v>
      </c>
      <c r="C25" s="1" t="n">
        <v>45703</v>
      </c>
      <c r="D25" t="inlineStr">
        <is>
          <t>STOCKHOLMS LÄN</t>
        </is>
      </c>
      <c r="E25" t="inlineStr">
        <is>
          <t>HANINGE</t>
        </is>
      </c>
      <c r="G25" t="n">
        <v>6.9</v>
      </c>
      <c r="H25" t="n">
        <v>0</v>
      </c>
      <c r="I25" t="n">
        <v>2</v>
      </c>
      <c r="J25" t="n">
        <v>0</v>
      </c>
      <c r="K25" t="n">
        <v>0</v>
      </c>
      <c r="L25" t="n">
        <v>1</v>
      </c>
      <c r="M25" t="n">
        <v>0</v>
      </c>
      <c r="N25" t="n">
        <v>0</v>
      </c>
      <c r="O25" t="n">
        <v>1</v>
      </c>
      <c r="P25" t="n">
        <v>1</v>
      </c>
      <c r="Q25" t="n">
        <v>3</v>
      </c>
      <c r="R25" s="2" t="inlineStr">
        <is>
          <t>Ask
Stubbspretmossa
Tibast</t>
        </is>
      </c>
      <c r="S25">
        <f>HYPERLINK("https://klasma.github.io/Logging_0136/artfynd/A 6646-2023 artfynd.xlsx", "A 6646-2023")</f>
        <v/>
      </c>
      <c r="T25">
        <f>HYPERLINK("https://klasma.github.io/Logging_0136/kartor/A 6646-2023 karta.png", "A 6646-2023")</f>
        <v/>
      </c>
      <c r="V25">
        <f>HYPERLINK("https://klasma.github.io/Logging_0136/klagomål/A 6646-2023 FSC-klagomål.docx", "A 6646-2023")</f>
        <v/>
      </c>
      <c r="W25">
        <f>HYPERLINK("https://klasma.github.io/Logging_0136/klagomålsmail/A 6646-2023 FSC-klagomål mail.docx", "A 6646-2023")</f>
        <v/>
      </c>
      <c r="X25">
        <f>HYPERLINK("https://klasma.github.io/Logging_0136/tillsyn/A 6646-2023 tillsynsbegäran.docx", "A 6646-2023")</f>
        <v/>
      </c>
      <c r="Y25">
        <f>HYPERLINK("https://klasma.github.io/Logging_0136/tillsynsmail/A 6646-2023 tillsynsbegäran mail.docx", "A 6646-2023")</f>
        <v/>
      </c>
    </row>
    <row r="26" ht="15" customHeight="1">
      <c r="A26" t="inlineStr">
        <is>
          <t>A 47707-2023</t>
        </is>
      </c>
      <c r="B26" s="1" t="n">
        <v>45203</v>
      </c>
      <c r="C26" s="1" t="n">
        <v>45703</v>
      </c>
      <c r="D26" t="inlineStr">
        <is>
          <t>STOCKHOLMS LÄN</t>
        </is>
      </c>
      <c r="E26" t="inlineStr">
        <is>
          <t>HANINGE</t>
        </is>
      </c>
      <c r="G26" t="n">
        <v>1.4</v>
      </c>
      <c r="H26" t="n">
        <v>0</v>
      </c>
      <c r="I26" t="n">
        <v>2</v>
      </c>
      <c r="J26" t="n">
        <v>1</v>
      </c>
      <c r="K26" t="n">
        <v>0</v>
      </c>
      <c r="L26" t="n">
        <v>0</v>
      </c>
      <c r="M26" t="n">
        <v>0</v>
      </c>
      <c r="N26" t="n">
        <v>0</v>
      </c>
      <c r="O26" t="n">
        <v>1</v>
      </c>
      <c r="P26" t="n">
        <v>0</v>
      </c>
      <c r="Q26" t="n">
        <v>3</v>
      </c>
      <c r="R26" s="2" t="inlineStr">
        <is>
          <t>Motaggsvamp
Granbarkgnagare
Stubbspretmossa</t>
        </is>
      </c>
      <c r="S26">
        <f>HYPERLINK("https://klasma.github.io/Logging_0136/artfynd/A 47707-2023 artfynd.xlsx", "A 47707-2023")</f>
        <v/>
      </c>
      <c r="T26">
        <f>HYPERLINK("https://klasma.github.io/Logging_0136/kartor/A 47707-2023 karta.png", "A 47707-2023")</f>
        <v/>
      </c>
      <c r="V26">
        <f>HYPERLINK("https://klasma.github.io/Logging_0136/klagomål/A 47707-2023 FSC-klagomål.docx", "A 47707-2023")</f>
        <v/>
      </c>
      <c r="W26">
        <f>HYPERLINK("https://klasma.github.io/Logging_0136/klagomålsmail/A 47707-2023 FSC-klagomål mail.docx", "A 47707-2023")</f>
        <v/>
      </c>
      <c r="X26">
        <f>HYPERLINK("https://klasma.github.io/Logging_0136/tillsyn/A 47707-2023 tillsynsbegäran.docx", "A 47707-2023")</f>
        <v/>
      </c>
      <c r="Y26">
        <f>HYPERLINK("https://klasma.github.io/Logging_0136/tillsynsmail/A 47707-2023 tillsynsbegäran mail.docx", "A 47707-2023")</f>
        <v/>
      </c>
    </row>
    <row r="27" ht="15" customHeight="1">
      <c r="A27" t="inlineStr">
        <is>
          <t>A 53714-2023</t>
        </is>
      </c>
      <c r="B27" s="1" t="n">
        <v>45230</v>
      </c>
      <c r="C27" s="1" t="n">
        <v>45703</v>
      </c>
      <c r="D27" t="inlineStr">
        <is>
          <t>STOCKHOLMS LÄN</t>
        </is>
      </c>
      <c r="E27" t="inlineStr">
        <is>
          <t>HANINGE</t>
        </is>
      </c>
      <c r="G27" t="n">
        <v>7.7</v>
      </c>
      <c r="H27" t="n">
        <v>0</v>
      </c>
      <c r="I27" t="n">
        <v>3</v>
      </c>
      <c r="J27" t="n">
        <v>0</v>
      </c>
      <c r="K27" t="n">
        <v>0</v>
      </c>
      <c r="L27" t="n">
        <v>0</v>
      </c>
      <c r="M27" t="n">
        <v>0</v>
      </c>
      <c r="N27" t="n">
        <v>0</v>
      </c>
      <c r="O27" t="n">
        <v>0</v>
      </c>
      <c r="P27" t="n">
        <v>0</v>
      </c>
      <c r="Q27" t="n">
        <v>3</v>
      </c>
      <c r="R27" s="2" t="inlineStr">
        <is>
          <t>Guldlockmossa
Platt fjädermossa
Trubbfjädermossa</t>
        </is>
      </c>
      <c r="S27">
        <f>HYPERLINK("https://klasma.github.io/Logging_0136/artfynd/A 53714-2023 artfynd.xlsx", "A 53714-2023")</f>
        <v/>
      </c>
      <c r="T27">
        <f>HYPERLINK("https://klasma.github.io/Logging_0136/kartor/A 53714-2023 karta.png", "A 53714-2023")</f>
        <v/>
      </c>
      <c r="V27">
        <f>HYPERLINK("https://klasma.github.io/Logging_0136/klagomål/A 53714-2023 FSC-klagomål.docx", "A 53714-2023")</f>
        <v/>
      </c>
      <c r="W27">
        <f>HYPERLINK("https://klasma.github.io/Logging_0136/klagomålsmail/A 53714-2023 FSC-klagomål mail.docx", "A 53714-2023")</f>
        <v/>
      </c>
      <c r="X27">
        <f>HYPERLINK("https://klasma.github.io/Logging_0136/tillsyn/A 53714-2023 tillsynsbegäran.docx", "A 53714-2023")</f>
        <v/>
      </c>
      <c r="Y27">
        <f>HYPERLINK("https://klasma.github.io/Logging_0136/tillsynsmail/A 53714-2023 tillsynsbegäran mail.docx", "A 53714-2023")</f>
        <v/>
      </c>
    </row>
    <row r="28" ht="15" customHeight="1">
      <c r="A28" t="inlineStr">
        <is>
          <t>A 21978-2024</t>
        </is>
      </c>
      <c r="B28" s="1" t="n">
        <v>45443</v>
      </c>
      <c r="C28" s="1" t="n">
        <v>45703</v>
      </c>
      <c r="D28" t="inlineStr">
        <is>
          <t>STOCKHOLMS LÄN</t>
        </is>
      </c>
      <c r="E28" t="inlineStr">
        <is>
          <t>HANINGE</t>
        </is>
      </c>
      <c r="G28" t="n">
        <v>12.4</v>
      </c>
      <c r="H28" t="n">
        <v>2</v>
      </c>
      <c r="I28" t="n">
        <v>1</v>
      </c>
      <c r="J28" t="n">
        <v>1</v>
      </c>
      <c r="K28" t="n">
        <v>0</v>
      </c>
      <c r="L28" t="n">
        <v>0</v>
      </c>
      <c r="M28" t="n">
        <v>0</v>
      </c>
      <c r="N28" t="n">
        <v>0</v>
      </c>
      <c r="O28" t="n">
        <v>1</v>
      </c>
      <c r="P28" t="n">
        <v>0</v>
      </c>
      <c r="Q28" t="n">
        <v>3</v>
      </c>
      <c r="R28" s="2" t="inlineStr">
        <is>
          <t>Granticka
Grön sköldmossa
Vanlig snok</t>
        </is>
      </c>
      <c r="S28">
        <f>HYPERLINK("https://klasma.github.io/Logging_0136/artfynd/A 21978-2024 artfynd.xlsx", "A 21978-2024")</f>
        <v/>
      </c>
      <c r="T28">
        <f>HYPERLINK("https://klasma.github.io/Logging_0136/kartor/A 21978-2024 karta.png", "A 21978-2024")</f>
        <v/>
      </c>
      <c r="V28">
        <f>HYPERLINK("https://klasma.github.io/Logging_0136/klagomål/A 21978-2024 FSC-klagomål.docx", "A 21978-2024")</f>
        <v/>
      </c>
      <c r="W28">
        <f>HYPERLINK("https://klasma.github.io/Logging_0136/klagomålsmail/A 21978-2024 FSC-klagomål mail.docx", "A 21978-2024")</f>
        <v/>
      </c>
      <c r="X28">
        <f>HYPERLINK("https://klasma.github.io/Logging_0136/tillsyn/A 21978-2024 tillsynsbegäran.docx", "A 21978-2024")</f>
        <v/>
      </c>
      <c r="Y28">
        <f>HYPERLINK("https://klasma.github.io/Logging_0136/tillsynsmail/A 21978-2024 tillsynsbegäran mail.docx", "A 21978-2024")</f>
        <v/>
      </c>
    </row>
    <row r="29" ht="15" customHeight="1">
      <c r="A29" t="inlineStr">
        <is>
          <t>A 21187-2020</t>
        </is>
      </c>
      <c r="B29" s="1" t="n">
        <v>43951</v>
      </c>
      <c r="C29" s="1" t="n">
        <v>45703</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45703</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45703</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45703</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45703</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45703</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45703</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45703</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45703</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45703</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45703</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45703</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45703</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45703</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45703</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45703</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45703</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45703</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45703</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45703</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45703</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45703</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45703</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45703</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45703</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45703</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45703</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45703</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45703</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45703</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45703</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45703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45703</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45703</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45703</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45703</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45703</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45703</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45703</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45703</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45703</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45703</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45703</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45703</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45703</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45703</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45703</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45703</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45703</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45703</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45703</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45703</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45703</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45703</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45703</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45703</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45703</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45703</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45703</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45703</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45703</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45703</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45703</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45703</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45703</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45703</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45703</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45703</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45703</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45703</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45703</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45703</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45703</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45703</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45703</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45703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45703</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45703</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45703</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45703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45703</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45703</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45703</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45703</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45703</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45703</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45703</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45703</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45703</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45703</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45703</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45703</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45703</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45703</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45703</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45703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45703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45703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45703</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45703</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45703</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45703</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45703</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45703</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45703</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45703</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45703</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45703</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45703</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45703</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45703</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45703</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45703</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45703</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45703</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45703</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45703</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45703</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2025-02-15T16:19:57Z</dcterms:created>
  <dcterms:modified xmlns:dcterms="http://purl.org/dc/terms/" xmlns:xsi="http://www.w3.org/2001/XMLSchema-instance" xsi:type="dcterms:W3CDTF">2025-02-15T16:19:57Z</dcterms:modified>
</cp:coreProperties>
</file>