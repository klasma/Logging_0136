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45928</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45928</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45928</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45928</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45928</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45928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45928</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45928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45928</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53858-2020</t>
        </is>
      </c>
      <c r="B16" s="1" t="n">
        <v>44125</v>
      </c>
      <c r="C16" s="1" t="n">
        <v>45928</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45928</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20507-2025</t>
        </is>
      </c>
      <c r="B18" s="1" t="n">
        <v>45775.59121527777</v>
      </c>
      <c r="C18" s="1" t="n">
        <v>45928</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1424-2021</t>
        </is>
      </c>
      <c r="B19" s="1" t="n">
        <v>44208</v>
      </c>
      <c r="C19" s="1" t="n">
        <v>45928</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45928</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45928</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45928</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45928</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45928</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45928</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68883-2021</t>
        </is>
      </c>
      <c r="B26" s="1" t="n">
        <v>44526</v>
      </c>
      <c r="C26" s="1" t="n">
        <v>45928</v>
      </c>
      <c r="D26" t="inlineStr">
        <is>
          <t>STOCKHOLMS LÄN</t>
        </is>
      </c>
      <c r="E26" t="inlineStr">
        <is>
          <t>HANINGE</t>
        </is>
      </c>
      <c r="G26" t="n">
        <v>2.5</v>
      </c>
      <c r="H26" t="n">
        <v>1</v>
      </c>
      <c r="I26" t="n">
        <v>0</v>
      </c>
      <c r="J26" t="n">
        <v>0</v>
      </c>
      <c r="K26" t="n">
        <v>0</v>
      </c>
      <c r="L26" t="n">
        <v>0</v>
      </c>
      <c r="M26" t="n">
        <v>0</v>
      </c>
      <c r="N26" t="n">
        <v>0</v>
      </c>
      <c r="O26" t="n">
        <v>0</v>
      </c>
      <c r="P26" t="n">
        <v>0</v>
      </c>
      <c r="Q26" t="n">
        <v>1</v>
      </c>
      <c r="R26" s="2" t="inlineStr">
        <is>
          <t>Nattviol</t>
        </is>
      </c>
      <c r="S26">
        <f>HYPERLINK("https://klasma.github.io/Logging_0136/artfynd/A 68883-2021 artfynd.xlsx", "A 68883-2021")</f>
        <v/>
      </c>
      <c r="T26">
        <f>HYPERLINK("https://klasma.github.io/Logging_0136/kartor/A 68883-2021 karta.png", "A 68883-2021")</f>
        <v/>
      </c>
      <c r="V26">
        <f>HYPERLINK("https://klasma.github.io/Logging_0136/klagomål/A 68883-2021 FSC-klagomål.docx", "A 68883-2021")</f>
        <v/>
      </c>
      <c r="W26">
        <f>HYPERLINK("https://klasma.github.io/Logging_0136/klagomålsmail/A 68883-2021 FSC-klagomål mail.docx", "A 68883-2021")</f>
        <v/>
      </c>
      <c r="X26">
        <f>HYPERLINK("https://klasma.github.io/Logging_0136/tillsyn/A 68883-2021 tillsynsbegäran.docx", "A 68883-2021")</f>
        <v/>
      </c>
      <c r="Y26">
        <f>HYPERLINK("https://klasma.github.io/Logging_0136/tillsynsmail/A 68883-2021 tillsynsbegäran mail.docx", "A 68883-2021")</f>
        <v/>
      </c>
    </row>
    <row r="27" ht="15" customHeight="1">
      <c r="A27" t="inlineStr">
        <is>
          <t>A 31780-2021</t>
        </is>
      </c>
      <c r="B27" s="1" t="n">
        <v>44369</v>
      </c>
      <c r="C27" s="1" t="n">
        <v>45928</v>
      </c>
      <c r="D27" t="inlineStr">
        <is>
          <t>STOCKHOLMS LÄN</t>
        </is>
      </c>
      <c r="E27" t="inlineStr">
        <is>
          <t>HANINGE</t>
        </is>
      </c>
      <c r="G27" t="n">
        <v>11.5</v>
      </c>
      <c r="H27" t="n">
        <v>0</v>
      </c>
      <c r="I27" t="n">
        <v>0</v>
      </c>
      <c r="J27" t="n">
        <v>0</v>
      </c>
      <c r="K27" t="n">
        <v>0</v>
      </c>
      <c r="L27" t="n">
        <v>0</v>
      </c>
      <c r="M27" t="n">
        <v>0</v>
      </c>
      <c r="N27" t="n">
        <v>0</v>
      </c>
      <c r="O27" t="n">
        <v>0</v>
      </c>
      <c r="P27" t="n">
        <v>0</v>
      </c>
      <c r="Q27" t="n">
        <v>0</v>
      </c>
      <c r="R27" s="2" t="inlineStr"/>
    </row>
    <row r="28" ht="15" customHeight="1">
      <c r="A28" t="inlineStr">
        <is>
          <t>A 68904-2021</t>
        </is>
      </c>
      <c r="B28" s="1" t="n">
        <v>44526</v>
      </c>
      <c r="C28" s="1" t="n">
        <v>45928</v>
      </c>
      <c r="D28" t="inlineStr">
        <is>
          <t>STOCKHOLMS LÄN</t>
        </is>
      </c>
      <c r="E28" t="inlineStr">
        <is>
          <t>HANINGE</t>
        </is>
      </c>
      <c r="G28" t="n">
        <v>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45928</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45928</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45928</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45928</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45928</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45928</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45928</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45928</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45928</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45928</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45928</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45928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45928</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45928</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45928</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45928</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45928</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45928</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45928</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45928</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45928</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45928</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45928</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64568-2023</t>
        </is>
      </c>
      <c r="B52" s="1" t="n">
        <v>45281.43164351852</v>
      </c>
      <c r="C52" s="1" t="n">
        <v>45928</v>
      </c>
      <c r="D52" t="inlineStr">
        <is>
          <t>STOCKHOLMS LÄN</t>
        </is>
      </c>
      <c r="E52" t="inlineStr">
        <is>
          <t>HANINGE</t>
        </is>
      </c>
      <c r="G52" t="n">
        <v>3.1</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45928</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18548-2024</t>
        </is>
      </c>
      <c r="B54" s="1" t="n">
        <v>45425.64708333334</v>
      </c>
      <c r="C54" s="1" t="n">
        <v>45928</v>
      </c>
      <c r="D54" t="inlineStr">
        <is>
          <t>STOCKHOLMS LÄN</t>
        </is>
      </c>
      <c r="E54" t="inlineStr">
        <is>
          <t>HANINGE</t>
        </is>
      </c>
      <c r="F54" t="inlineStr">
        <is>
          <t>Kommuner</t>
        </is>
      </c>
      <c r="G54" t="n">
        <v>7.3</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45928</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45928</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45928</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14264-2025</t>
        </is>
      </c>
      <c r="B58" s="1" t="n">
        <v>45740.6340162037</v>
      </c>
      <c r="C58" s="1" t="n">
        <v>45928</v>
      </c>
      <c r="D58" t="inlineStr">
        <is>
          <t>STOCKHOLMS LÄN</t>
        </is>
      </c>
      <c r="E58" t="inlineStr">
        <is>
          <t>HANINGE</t>
        </is>
      </c>
      <c r="G58" t="n">
        <v>1</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45928</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45928</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8163-2024</t>
        </is>
      </c>
      <c r="B61" s="1" t="n">
        <v>45351.60337962963</v>
      </c>
      <c r="C61" s="1" t="n">
        <v>45928</v>
      </c>
      <c r="D61" t="inlineStr">
        <is>
          <t>STOCKHOLMS LÄN</t>
        </is>
      </c>
      <c r="E61" t="inlineStr">
        <is>
          <t>HANINGE</t>
        </is>
      </c>
      <c r="F61" t="inlineStr">
        <is>
          <t>Kommuner</t>
        </is>
      </c>
      <c r="G61" t="n">
        <v>3.8</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45928</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45928</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8078-2024</t>
        </is>
      </c>
      <c r="B64" s="1" t="n">
        <v>45351.43737268518</v>
      </c>
      <c r="C64" s="1" t="n">
        <v>45928</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24873-2023</t>
        </is>
      </c>
      <c r="B65" s="1" t="n">
        <v>45085</v>
      </c>
      <c r="C65" s="1" t="n">
        <v>45928</v>
      </c>
      <c r="D65" t="inlineStr">
        <is>
          <t>STOCKHOLMS LÄN</t>
        </is>
      </c>
      <c r="E65" t="inlineStr">
        <is>
          <t>HANINGE</t>
        </is>
      </c>
      <c r="G65" t="n">
        <v>1.9</v>
      </c>
      <c r="H65" t="n">
        <v>0</v>
      </c>
      <c r="I65" t="n">
        <v>0</v>
      </c>
      <c r="J65" t="n">
        <v>0</v>
      </c>
      <c r="K65" t="n">
        <v>0</v>
      </c>
      <c r="L65" t="n">
        <v>0</v>
      </c>
      <c r="M65" t="n">
        <v>0</v>
      </c>
      <c r="N65" t="n">
        <v>0</v>
      </c>
      <c r="O65" t="n">
        <v>0</v>
      </c>
      <c r="P65" t="n">
        <v>0</v>
      </c>
      <c r="Q65" t="n">
        <v>0</v>
      </c>
      <c r="R65" s="2" t="inlineStr"/>
    </row>
    <row r="66" ht="15" customHeight="1">
      <c r="A66" t="inlineStr">
        <is>
          <t>A 6648-2023</t>
        </is>
      </c>
      <c r="B66" s="1" t="n">
        <v>44966</v>
      </c>
      <c r="C66" s="1" t="n">
        <v>45928</v>
      </c>
      <c r="D66" t="inlineStr">
        <is>
          <t>STOCKHOLMS LÄN</t>
        </is>
      </c>
      <c r="E66" t="inlineStr">
        <is>
          <t>HANINGE</t>
        </is>
      </c>
      <c r="G66" t="n">
        <v>4</v>
      </c>
      <c r="H66" t="n">
        <v>0</v>
      </c>
      <c r="I66" t="n">
        <v>0</v>
      </c>
      <c r="J66" t="n">
        <v>0</v>
      </c>
      <c r="K66" t="n">
        <v>0</v>
      </c>
      <c r="L66" t="n">
        <v>0</v>
      </c>
      <c r="M66" t="n">
        <v>0</v>
      </c>
      <c r="N66" t="n">
        <v>0</v>
      </c>
      <c r="O66" t="n">
        <v>0</v>
      </c>
      <c r="P66" t="n">
        <v>0</v>
      </c>
      <c r="Q66" t="n">
        <v>0</v>
      </c>
      <c r="R66" s="2" t="inlineStr"/>
    </row>
    <row r="67" ht="15" customHeight="1">
      <c r="A67" t="inlineStr">
        <is>
          <t>A 52773-2024</t>
        </is>
      </c>
      <c r="B67" s="1" t="n">
        <v>45610.53207175926</v>
      </c>
      <c r="C67" s="1" t="n">
        <v>45928</v>
      </c>
      <c r="D67" t="inlineStr">
        <is>
          <t>STOCKHOLMS LÄN</t>
        </is>
      </c>
      <c r="E67" t="inlineStr">
        <is>
          <t>HANINGE</t>
        </is>
      </c>
      <c r="G67" t="n">
        <v>0.7</v>
      </c>
      <c r="H67" t="n">
        <v>0</v>
      </c>
      <c r="I67" t="n">
        <v>0</v>
      </c>
      <c r="J67" t="n">
        <v>0</v>
      </c>
      <c r="K67" t="n">
        <v>0</v>
      </c>
      <c r="L67" t="n">
        <v>0</v>
      </c>
      <c r="M67" t="n">
        <v>0</v>
      </c>
      <c r="N67" t="n">
        <v>0</v>
      </c>
      <c r="O67" t="n">
        <v>0</v>
      </c>
      <c r="P67" t="n">
        <v>0</v>
      </c>
      <c r="Q67" t="n">
        <v>0</v>
      </c>
      <c r="R67" s="2" t="inlineStr"/>
    </row>
    <row r="68" ht="15" customHeight="1">
      <c r="A68" t="inlineStr">
        <is>
          <t>A 23666-2024</t>
        </is>
      </c>
      <c r="B68" s="1" t="n">
        <v>45454.57909722222</v>
      </c>
      <c r="C68" s="1" t="n">
        <v>45928</v>
      </c>
      <c r="D68" t="inlineStr">
        <is>
          <t>STOCKHOLMS LÄN</t>
        </is>
      </c>
      <c r="E68" t="inlineStr">
        <is>
          <t>HANINGE</t>
        </is>
      </c>
      <c r="G68" t="n">
        <v>0.8</v>
      </c>
      <c r="H68" t="n">
        <v>0</v>
      </c>
      <c r="I68" t="n">
        <v>0</v>
      </c>
      <c r="J68" t="n">
        <v>0</v>
      </c>
      <c r="K68" t="n">
        <v>0</v>
      </c>
      <c r="L68" t="n">
        <v>0</v>
      </c>
      <c r="M68" t="n">
        <v>0</v>
      </c>
      <c r="N68" t="n">
        <v>0</v>
      </c>
      <c r="O68" t="n">
        <v>0</v>
      </c>
      <c r="P68" t="n">
        <v>0</v>
      </c>
      <c r="Q68" t="n">
        <v>0</v>
      </c>
      <c r="R68" s="2" t="inlineStr"/>
    </row>
    <row r="69" ht="15" customHeight="1">
      <c r="A69" t="inlineStr">
        <is>
          <t>A 9946-2024</t>
        </is>
      </c>
      <c r="B69" s="1" t="n">
        <v>45363.59789351852</v>
      </c>
      <c r="C69" s="1" t="n">
        <v>45928</v>
      </c>
      <c r="D69" t="inlineStr">
        <is>
          <t>STOCKHOLMS LÄN</t>
        </is>
      </c>
      <c r="E69" t="inlineStr">
        <is>
          <t>HANINGE</t>
        </is>
      </c>
      <c r="G69" t="n">
        <v>3.8</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45928</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45928</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45928</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45928</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52770-2024</t>
        </is>
      </c>
      <c r="B74" s="1" t="n">
        <v>45610.52414351852</v>
      </c>
      <c r="C74" s="1" t="n">
        <v>45928</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52836-2024</t>
        </is>
      </c>
      <c r="B75" s="1" t="n">
        <v>45610.59637731482</v>
      </c>
      <c r="C75" s="1" t="n">
        <v>45928</v>
      </c>
      <c r="D75" t="inlineStr">
        <is>
          <t>STOCKHOLMS LÄN</t>
        </is>
      </c>
      <c r="E75" t="inlineStr">
        <is>
          <t>HANINGE</t>
        </is>
      </c>
      <c r="G75" t="n">
        <v>1</v>
      </c>
      <c r="H75" t="n">
        <v>0</v>
      </c>
      <c r="I75" t="n">
        <v>0</v>
      </c>
      <c r="J75" t="n">
        <v>0</v>
      </c>
      <c r="K75" t="n">
        <v>0</v>
      </c>
      <c r="L75" t="n">
        <v>0</v>
      </c>
      <c r="M75" t="n">
        <v>0</v>
      </c>
      <c r="N75" t="n">
        <v>0</v>
      </c>
      <c r="O75" t="n">
        <v>0</v>
      </c>
      <c r="P75" t="n">
        <v>0</v>
      </c>
      <c r="Q75" t="n">
        <v>0</v>
      </c>
      <c r="R75" s="2" t="inlineStr"/>
    </row>
    <row r="76" ht="15" customHeight="1">
      <c r="A76" t="inlineStr">
        <is>
          <t>A 20839-2024</t>
        </is>
      </c>
      <c r="B76" s="1" t="n">
        <v>45439.39953703704</v>
      </c>
      <c r="C76" s="1" t="n">
        <v>45928</v>
      </c>
      <c r="D76" t="inlineStr">
        <is>
          <t>STOCKHOLMS LÄN</t>
        </is>
      </c>
      <c r="E76" t="inlineStr">
        <is>
          <t>HANINGE</t>
        </is>
      </c>
      <c r="G76" t="n">
        <v>8.4</v>
      </c>
      <c r="H76" t="n">
        <v>0</v>
      </c>
      <c r="I76" t="n">
        <v>0</v>
      </c>
      <c r="J76" t="n">
        <v>0</v>
      </c>
      <c r="K76" t="n">
        <v>0</v>
      </c>
      <c r="L76" t="n">
        <v>0</v>
      </c>
      <c r="M76" t="n">
        <v>0</v>
      </c>
      <c r="N76" t="n">
        <v>0</v>
      </c>
      <c r="O76" t="n">
        <v>0</v>
      </c>
      <c r="P76" t="n">
        <v>0</v>
      </c>
      <c r="Q76" t="n">
        <v>0</v>
      </c>
      <c r="R76" s="2" t="inlineStr"/>
    </row>
    <row r="77" ht="15" customHeight="1">
      <c r="A77" t="inlineStr">
        <is>
          <t>A 5474-2024</t>
        </is>
      </c>
      <c r="B77" s="1" t="n">
        <v>45333.51131944444</v>
      </c>
      <c r="C77" s="1" t="n">
        <v>45928</v>
      </c>
      <c r="D77" t="inlineStr">
        <is>
          <t>STOCKHOLMS LÄN</t>
        </is>
      </c>
      <c r="E77" t="inlineStr">
        <is>
          <t>HANINGE</t>
        </is>
      </c>
      <c r="F77" t="inlineStr">
        <is>
          <t>Kommuner</t>
        </is>
      </c>
      <c r="G77" t="n">
        <v>0.9</v>
      </c>
      <c r="H77" t="n">
        <v>0</v>
      </c>
      <c r="I77" t="n">
        <v>0</v>
      </c>
      <c r="J77" t="n">
        <v>0</v>
      </c>
      <c r="K77" t="n">
        <v>0</v>
      </c>
      <c r="L77" t="n">
        <v>0</v>
      </c>
      <c r="M77" t="n">
        <v>0</v>
      </c>
      <c r="N77" t="n">
        <v>0</v>
      </c>
      <c r="O77" t="n">
        <v>0</v>
      </c>
      <c r="P77" t="n">
        <v>0</v>
      </c>
      <c r="Q77" t="n">
        <v>0</v>
      </c>
      <c r="R77" s="2" t="inlineStr"/>
    </row>
    <row r="78" ht="15" customHeight="1">
      <c r="A78" t="inlineStr">
        <is>
          <t>A 14900-2025</t>
        </is>
      </c>
      <c r="B78" s="1" t="n">
        <v>45743.48729166666</v>
      </c>
      <c r="C78" s="1" t="n">
        <v>45928</v>
      </c>
      <c r="D78" t="inlineStr">
        <is>
          <t>STOCKHOLMS LÄN</t>
        </is>
      </c>
      <c r="E78" t="inlineStr">
        <is>
          <t>HANINGE</t>
        </is>
      </c>
      <c r="G78" t="n">
        <v>4.5</v>
      </c>
      <c r="H78" t="n">
        <v>0</v>
      </c>
      <c r="I78" t="n">
        <v>0</v>
      </c>
      <c r="J78" t="n">
        <v>0</v>
      </c>
      <c r="K78" t="n">
        <v>0</v>
      </c>
      <c r="L78" t="n">
        <v>0</v>
      </c>
      <c r="M78" t="n">
        <v>0</v>
      </c>
      <c r="N78" t="n">
        <v>0</v>
      </c>
      <c r="O78" t="n">
        <v>0</v>
      </c>
      <c r="P78" t="n">
        <v>0</v>
      </c>
      <c r="Q78" t="n">
        <v>0</v>
      </c>
      <c r="R78" s="2" t="inlineStr"/>
    </row>
    <row r="79" ht="15" customHeight="1">
      <c r="A79" t="inlineStr">
        <is>
          <t>A 21231-2025</t>
        </is>
      </c>
      <c r="B79" s="1" t="n">
        <v>45779.54644675926</v>
      </c>
      <c r="C79" s="1" t="n">
        <v>45928</v>
      </c>
      <c r="D79" t="inlineStr">
        <is>
          <t>STOCKHOLMS LÄN</t>
        </is>
      </c>
      <c r="E79" t="inlineStr">
        <is>
          <t>HANINGE</t>
        </is>
      </c>
      <c r="G79" t="n">
        <v>4.3</v>
      </c>
      <c r="H79" t="n">
        <v>0</v>
      </c>
      <c r="I79" t="n">
        <v>0</v>
      </c>
      <c r="J79" t="n">
        <v>0</v>
      </c>
      <c r="K79" t="n">
        <v>0</v>
      </c>
      <c r="L79" t="n">
        <v>0</v>
      </c>
      <c r="M79" t="n">
        <v>0</v>
      </c>
      <c r="N79" t="n">
        <v>0</v>
      </c>
      <c r="O79" t="n">
        <v>0</v>
      </c>
      <c r="P79" t="n">
        <v>0</v>
      </c>
      <c r="Q79" t="n">
        <v>0</v>
      </c>
      <c r="R79" s="2" t="inlineStr"/>
    </row>
    <row r="80" ht="15" customHeight="1">
      <c r="A80" t="inlineStr">
        <is>
          <t>A 24115-2025</t>
        </is>
      </c>
      <c r="B80" s="1" t="n">
        <v>45796.61494212963</v>
      </c>
      <c r="C80" s="1" t="n">
        <v>45928</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18512-2024</t>
        </is>
      </c>
      <c r="B81" s="1" t="n">
        <v>45425.59938657407</v>
      </c>
      <c r="C81" s="1" t="n">
        <v>45928</v>
      </c>
      <c r="D81" t="inlineStr">
        <is>
          <t>STOCKHOLMS LÄN</t>
        </is>
      </c>
      <c r="E81" t="inlineStr">
        <is>
          <t>HANINGE</t>
        </is>
      </c>
      <c r="F81" t="inlineStr">
        <is>
          <t>Kommuner</t>
        </is>
      </c>
      <c r="G81" t="n">
        <v>0.7</v>
      </c>
      <c r="H81" t="n">
        <v>0</v>
      </c>
      <c r="I81" t="n">
        <v>0</v>
      </c>
      <c r="J81" t="n">
        <v>0</v>
      </c>
      <c r="K81" t="n">
        <v>0</v>
      </c>
      <c r="L81" t="n">
        <v>0</v>
      </c>
      <c r="M81" t="n">
        <v>0</v>
      </c>
      <c r="N81" t="n">
        <v>0</v>
      </c>
      <c r="O81" t="n">
        <v>0</v>
      </c>
      <c r="P81" t="n">
        <v>0</v>
      </c>
      <c r="Q81" t="n">
        <v>0</v>
      </c>
      <c r="R81" s="2" t="inlineStr"/>
    </row>
    <row r="82" ht="15" customHeight="1">
      <c r="A82" t="inlineStr">
        <is>
          <t>A 4297-2024</t>
        </is>
      </c>
      <c r="B82" s="1" t="n">
        <v>45324.62291666667</v>
      </c>
      <c r="C82" s="1" t="n">
        <v>45928</v>
      </c>
      <c r="D82" t="inlineStr">
        <is>
          <t>STOCKHOLMS LÄN</t>
        </is>
      </c>
      <c r="E82" t="inlineStr">
        <is>
          <t>HANINGE</t>
        </is>
      </c>
      <c r="F82" t="inlineStr">
        <is>
          <t>Kommuner</t>
        </is>
      </c>
      <c r="G82" t="n">
        <v>0.4</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45928</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45928</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1703-2023</t>
        </is>
      </c>
      <c r="B85" s="1" t="n">
        <v>44938.44412037037</v>
      </c>
      <c r="C85" s="1" t="n">
        <v>45928</v>
      </c>
      <c r="D85" t="inlineStr">
        <is>
          <t>STOCKHOLMS LÄN</t>
        </is>
      </c>
      <c r="E85" t="inlineStr">
        <is>
          <t>HANINGE</t>
        </is>
      </c>
      <c r="G85" t="n">
        <v>1.8</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45928</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45928</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27596-2025</t>
        </is>
      </c>
      <c r="B88" s="1" t="n">
        <v>45813.52303240741</v>
      </c>
      <c r="C88" s="1" t="n">
        <v>45928</v>
      </c>
      <c r="D88" t="inlineStr">
        <is>
          <t>STOCKHOLMS LÄN</t>
        </is>
      </c>
      <c r="E88" t="inlineStr">
        <is>
          <t>HANINGE</t>
        </is>
      </c>
      <c r="G88" t="n">
        <v>0.1</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45928</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7328-2025</t>
        </is>
      </c>
      <c r="B90" s="1" t="n">
        <v>45703.29252314815</v>
      </c>
      <c r="C90" s="1" t="n">
        <v>45928</v>
      </c>
      <c r="D90" t="inlineStr">
        <is>
          <t>STOCKHOLMS LÄN</t>
        </is>
      </c>
      <c r="E90" t="inlineStr">
        <is>
          <t>HANINGE</t>
        </is>
      </c>
      <c r="G90" t="n">
        <v>2.5</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45928</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45928</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38880-2025</t>
        </is>
      </c>
      <c r="B93" s="1" t="n">
        <v>45887.57966435186</v>
      </c>
      <c r="C93" s="1" t="n">
        <v>45928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32948-2025</t>
        </is>
      </c>
      <c r="B94" s="1" t="n">
        <v>45839</v>
      </c>
      <c r="C94" s="1" t="n">
        <v>45928</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20527-2025</t>
        </is>
      </c>
      <c r="B95" s="1" t="n">
        <v>45775.60663194444</v>
      </c>
      <c r="C95" s="1" t="n">
        <v>45928</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64548-2020</t>
        </is>
      </c>
      <c r="B96" s="1" t="n">
        <v>44166</v>
      </c>
      <c r="C96" s="1" t="n">
        <v>45928</v>
      </c>
      <c r="D96" t="inlineStr">
        <is>
          <t>STOCKHOLMS LÄN</t>
        </is>
      </c>
      <c r="E96" t="inlineStr">
        <is>
          <t>HANINGE</t>
        </is>
      </c>
      <c r="G96" t="n">
        <v>7.2</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45928</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1180-2024</t>
        </is>
      </c>
      <c r="B98" s="1" t="n">
        <v>45302</v>
      </c>
      <c r="C98" s="1" t="n">
        <v>45928</v>
      </c>
      <c r="D98" t="inlineStr">
        <is>
          <t>STOCKHOLMS LÄN</t>
        </is>
      </c>
      <c r="E98" t="inlineStr">
        <is>
          <t>HANINGE</t>
        </is>
      </c>
      <c r="G98" t="n">
        <v>2</v>
      </c>
      <c r="H98" t="n">
        <v>0</v>
      </c>
      <c r="I98" t="n">
        <v>0</v>
      </c>
      <c r="J98" t="n">
        <v>0</v>
      </c>
      <c r="K98" t="n">
        <v>0</v>
      </c>
      <c r="L98" t="n">
        <v>0</v>
      </c>
      <c r="M98" t="n">
        <v>0</v>
      </c>
      <c r="N98" t="n">
        <v>0</v>
      </c>
      <c r="O98" t="n">
        <v>0</v>
      </c>
      <c r="P98" t="n">
        <v>0</v>
      </c>
      <c r="Q98" t="n">
        <v>0</v>
      </c>
      <c r="R98" s="2" t="inlineStr"/>
    </row>
    <row r="99" ht="15" customHeight="1">
      <c r="A99" t="inlineStr">
        <is>
          <t>A 1184-2024</t>
        </is>
      </c>
      <c r="B99" s="1" t="n">
        <v>45302.57663194444</v>
      </c>
      <c r="C99" s="1" t="n">
        <v>45928</v>
      </c>
      <c r="D99" t="inlineStr">
        <is>
          <t>STOCKHOLMS LÄN</t>
        </is>
      </c>
      <c r="E99" t="inlineStr">
        <is>
          <t>HANINGE</t>
        </is>
      </c>
      <c r="G99" t="n">
        <v>3.6</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45928</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c r="A101" t="inlineStr">
        <is>
          <t>A 18490-2025</t>
        </is>
      </c>
      <c r="B101" s="1" t="n">
        <v>45763</v>
      </c>
      <c r="C101" s="1" t="n">
        <v>45928</v>
      </c>
      <c r="D101" t="inlineStr">
        <is>
          <t>STOCKHOLMS LÄN</t>
        </is>
      </c>
      <c r="E101" t="inlineStr">
        <is>
          <t>HANINGE</t>
        </is>
      </c>
      <c r="G101" t="n">
        <v>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2025-09-28T12:16:42Z</dcterms:created>
  <dcterms:modified xmlns:dcterms="http://purl.org/dc/terms/" xmlns:xsi="http://www.w3.org/2001/XMLSchema-instance" xsi:type="dcterms:W3CDTF">2025-09-28T12:16:42Z</dcterms:modified>
</cp:coreProperties>
</file>