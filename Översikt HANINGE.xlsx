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46132</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46132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46132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46132</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46132</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46132</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46132</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46132</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46132</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46132</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46132</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14729-2023</t>
        </is>
      </c>
      <c r="B17" s="1" t="n">
        <v>45014</v>
      </c>
      <c r="C17" s="1" t="n">
        <v>46132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20507-2025</t>
        </is>
      </c>
      <c r="B18" s="1" t="n">
        <v>45775.59121527777</v>
      </c>
      <c r="C18" s="1" t="n">
        <v>46132</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39636-2022</t>
        </is>
      </c>
      <c r="B19" s="1" t="n">
        <v>44818</v>
      </c>
      <c r="C19" s="1" t="n">
        <v>46132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46132</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46132</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46132</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46132</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46132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46132</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46132</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46132</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46132</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46132</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46132</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46132</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46132</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46132</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46132</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46132</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21231-2025</t>
        </is>
      </c>
      <c r="B44" s="1" t="n">
        <v>45779.54644675926</v>
      </c>
      <c r="C44" s="1" t="n">
        <v>46132</v>
      </c>
      <c r="D44" t="inlineStr">
        <is>
          <t>STOCKHOLMS LÄN</t>
        </is>
      </c>
      <c r="E44" t="inlineStr">
        <is>
          <t>HANINGE</t>
        </is>
      </c>
      <c r="G44" t="n">
        <v>4.3</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46132</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46132</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46132</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46132</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46132</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46132</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46132</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46132</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27596-2025</t>
        </is>
      </c>
      <c r="B53" s="1" t="n">
        <v>45813.52303240741</v>
      </c>
      <c r="C53" s="1" t="n">
        <v>46132</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6648-2023</t>
        </is>
      </c>
      <c r="B54" s="1" t="n">
        <v>44966</v>
      </c>
      <c r="C54" s="1" t="n">
        <v>46132</v>
      </c>
      <c r="D54" t="inlineStr">
        <is>
          <t>STOCKHOLMS LÄN</t>
        </is>
      </c>
      <c r="E54" t="inlineStr">
        <is>
          <t>HANINGE</t>
        </is>
      </c>
      <c r="G54" t="n">
        <v>4</v>
      </c>
      <c r="H54" t="n">
        <v>0</v>
      </c>
      <c r="I54" t="n">
        <v>0</v>
      </c>
      <c r="J54" t="n">
        <v>0</v>
      </c>
      <c r="K54" t="n">
        <v>0</v>
      </c>
      <c r="L54" t="n">
        <v>0</v>
      </c>
      <c r="M54" t="n">
        <v>0</v>
      </c>
      <c r="N54" t="n">
        <v>0</v>
      </c>
      <c r="O54" t="n">
        <v>0</v>
      </c>
      <c r="P54" t="n">
        <v>0</v>
      </c>
      <c r="Q54" t="n">
        <v>0</v>
      </c>
      <c r="R54" s="2" t="inlineStr"/>
    </row>
    <row r="55" ht="15" customHeight="1">
      <c r="A55" t="inlineStr">
        <is>
          <t>A 48606-2025</t>
        </is>
      </c>
      <c r="B55" s="1" t="n">
        <v>45936.47019675926</v>
      </c>
      <c r="C55" s="1" t="n">
        <v>46132</v>
      </c>
      <c r="D55" t="inlineStr">
        <is>
          <t>STOCKHOLMS LÄN</t>
        </is>
      </c>
      <c r="E55" t="inlineStr">
        <is>
          <t>HANINGE</t>
        </is>
      </c>
      <c r="G55" t="n">
        <v>6.9</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46132</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46132</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46132</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46132</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32948-2025</t>
        </is>
      </c>
      <c r="B60" s="1" t="n">
        <v>45839</v>
      </c>
      <c r="C60" s="1" t="n">
        <v>46132</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46132</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17020-2022</t>
        </is>
      </c>
      <c r="B62" s="1" t="n">
        <v>44676</v>
      </c>
      <c r="C62" s="1" t="n">
        <v>46132</v>
      </c>
      <c r="D62" t="inlineStr">
        <is>
          <t>STOCKHOLMS LÄN</t>
        </is>
      </c>
      <c r="E62" t="inlineStr">
        <is>
          <t>HANINGE</t>
        </is>
      </c>
      <c r="F62" t="inlineStr">
        <is>
          <t>Övriga statliga verk och myndigheter</t>
        </is>
      </c>
      <c r="G62" t="n">
        <v>12.4</v>
      </c>
      <c r="H62" t="n">
        <v>0</v>
      </c>
      <c r="I62" t="n">
        <v>0</v>
      </c>
      <c r="J62" t="n">
        <v>0</v>
      </c>
      <c r="K62" t="n">
        <v>0</v>
      </c>
      <c r="L62" t="n">
        <v>0</v>
      </c>
      <c r="M62" t="n">
        <v>0</v>
      </c>
      <c r="N62" t="n">
        <v>0</v>
      </c>
      <c r="O62" t="n">
        <v>0</v>
      </c>
      <c r="P62" t="n">
        <v>0</v>
      </c>
      <c r="Q62" t="n">
        <v>0</v>
      </c>
      <c r="R62" s="2" t="inlineStr"/>
    </row>
    <row r="63" ht="15" customHeight="1">
      <c r="A63" t="inlineStr">
        <is>
          <t>A 59569-2025</t>
        </is>
      </c>
      <c r="B63" s="1" t="n">
        <v>45991.92870370371</v>
      </c>
      <c r="C63" s="1" t="n">
        <v>46132</v>
      </c>
      <c r="D63" t="inlineStr">
        <is>
          <t>STOCKHOLMS LÄN</t>
        </is>
      </c>
      <c r="E63" t="inlineStr">
        <is>
          <t>HANINGE</t>
        </is>
      </c>
      <c r="G63" t="n">
        <v>1.3</v>
      </c>
      <c r="H63" t="n">
        <v>0</v>
      </c>
      <c r="I63" t="n">
        <v>0</v>
      </c>
      <c r="J63" t="n">
        <v>0</v>
      </c>
      <c r="K63" t="n">
        <v>0</v>
      </c>
      <c r="L63" t="n">
        <v>0</v>
      </c>
      <c r="M63" t="n">
        <v>0</v>
      </c>
      <c r="N63" t="n">
        <v>0</v>
      </c>
      <c r="O63" t="n">
        <v>0</v>
      </c>
      <c r="P63" t="n">
        <v>0</v>
      </c>
      <c r="Q63" t="n">
        <v>0</v>
      </c>
      <c r="R63" s="2" t="inlineStr"/>
    </row>
    <row r="64" ht="15" customHeight="1">
      <c r="A64" t="inlineStr">
        <is>
          <t>A 59565-2025</t>
        </is>
      </c>
      <c r="B64" s="1" t="n">
        <v>45991.88413194445</v>
      </c>
      <c r="C64" s="1" t="n">
        <v>46132</v>
      </c>
      <c r="D64" t="inlineStr">
        <is>
          <t>STOCKHOLMS LÄN</t>
        </is>
      </c>
      <c r="E64" t="inlineStr">
        <is>
          <t>HANINGE</t>
        </is>
      </c>
      <c r="G64" t="n">
        <v>1.2</v>
      </c>
      <c r="H64" t="n">
        <v>0</v>
      </c>
      <c r="I64" t="n">
        <v>0</v>
      </c>
      <c r="J64" t="n">
        <v>0</v>
      </c>
      <c r="K64" t="n">
        <v>0</v>
      </c>
      <c r="L64" t="n">
        <v>0</v>
      </c>
      <c r="M64" t="n">
        <v>0</v>
      </c>
      <c r="N64" t="n">
        <v>0</v>
      </c>
      <c r="O64" t="n">
        <v>0</v>
      </c>
      <c r="P64" t="n">
        <v>0</v>
      </c>
      <c r="Q64" t="n">
        <v>0</v>
      </c>
      <c r="R64" s="2" t="inlineStr"/>
    </row>
    <row r="65" ht="15" customHeight="1">
      <c r="A65" t="inlineStr">
        <is>
          <t>A 59568-2025</t>
        </is>
      </c>
      <c r="B65" s="1" t="n">
        <v>45991.90737268519</v>
      </c>
      <c r="C65" s="1" t="n">
        <v>46132</v>
      </c>
      <c r="D65" t="inlineStr">
        <is>
          <t>STOCKHOLMS LÄN</t>
        </is>
      </c>
      <c r="E65" t="inlineStr">
        <is>
          <t>HANINGE</t>
        </is>
      </c>
      <c r="G65" t="n">
        <v>5.8</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46132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50306-2023</t>
        </is>
      </c>
      <c r="B67" s="1" t="n">
        <v>45209</v>
      </c>
      <c r="C67" s="1" t="n">
        <v>46132</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c r="U67">
        <f>HYPERLINK("https://klasma.github.io/Logging_0136/knärot/A 50306-2023 karta knärot.png", "A 50306-2023")</f>
        <v/>
      </c>
      <c r="V67">
        <f>HYPERLINK("https://klasma.github.io/Logging_0136/klagomål/A 50306-2023 FSC-klagomål.docx", "A 50306-2023")</f>
        <v/>
      </c>
      <c r="W67">
        <f>HYPERLINK("https://klasma.github.io/Logging_0136/klagomålsmail/A 50306-2023 FSC-klagomål mail.docx", "A 50306-2023")</f>
        <v/>
      </c>
      <c r="X67">
        <f>HYPERLINK("https://klasma.github.io/Logging_0136/tillsyn/A 50306-2023 tillsynsbegäran.docx", "A 50306-2023")</f>
        <v/>
      </c>
      <c r="Y67">
        <f>HYPERLINK("https://klasma.github.io/Logging_0136/tillsynsmail/A 50306-2023 tillsynsbegäran mail.docx", "A 50306-2023")</f>
        <v/>
      </c>
    </row>
    <row r="68" ht="15" customHeight="1">
      <c r="A68" t="inlineStr">
        <is>
          <t>A 22288-2023</t>
        </is>
      </c>
      <c r="B68" s="1" t="n">
        <v>45070</v>
      </c>
      <c r="C68" s="1" t="n">
        <v>46132</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33792-2023</t>
        </is>
      </c>
      <c r="B69" s="1" t="n">
        <v>45121</v>
      </c>
      <c r="C69" s="1" t="n">
        <v>46132</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46132</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18512-2024</t>
        </is>
      </c>
      <c r="B71" s="1" t="n">
        <v>45425.59938657407</v>
      </c>
      <c r="C71" s="1" t="n">
        <v>46132</v>
      </c>
      <c r="D71" t="inlineStr">
        <is>
          <t>STOCKHOLMS LÄN</t>
        </is>
      </c>
      <c r="E71" t="inlineStr">
        <is>
          <t>HANINGE</t>
        </is>
      </c>
      <c r="F71" t="inlineStr">
        <is>
          <t>Kommuner</t>
        </is>
      </c>
      <c r="G71" t="n">
        <v>0.7</v>
      </c>
      <c r="H71" t="n">
        <v>0</v>
      </c>
      <c r="I71" t="n">
        <v>0</v>
      </c>
      <c r="J71" t="n">
        <v>0</v>
      </c>
      <c r="K71" t="n">
        <v>0</v>
      </c>
      <c r="L71" t="n">
        <v>0</v>
      </c>
      <c r="M71" t="n">
        <v>0</v>
      </c>
      <c r="N71" t="n">
        <v>0</v>
      </c>
      <c r="O71" t="n">
        <v>0</v>
      </c>
      <c r="P71" t="n">
        <v>0</v>
      </c>
      <c r="Q71" t="n">
        <v>0</v>
      </c>
      <c r="R71" s="2" t="inlineStr"/>
    </row>
    <row r="72" ht="15" customHeight="1">
      <c r="A72" t="inlineStr">
        <is>
          <t>A 4297-2024</t>
        </is>
      </c>
      <c r="B72" s="1" t="n">
        <v>45324.62291666667</v>
      </c>
      <c r="C72" s="1" t="n">
        <v>46132</v>
      </c>
      <c r="D72" t="inlineStr">
        <is>
          <t>STOCKHOLMS LÄN</t>
        </is>
      </c>
      <c r="E72" t="inlineStr">
        <is>
          <t>HANINGE</t>
        </is>
      </c>
      <c r="F72" t="inlineStr">
        <is>
          <t>Kommuner</t>
        </is>
      </c>
      <c r="G72" t="n">
        <v>0.4</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46132</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12782-2026</t>
        </is>
      </c>
      <c r="B74" s="1" t="n">
        <v>46091.76701388889</v>
      </c>
      <c r="C74" s="1" t="n">
        <v>46132</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12787-2026</t>
        </is>
      </c>
      <c r="B75" s="1" t="n">
        <v>46091.85130787037</v>
      </c>
      <c r="C75" s="1" t="n">
        <v>46132</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17765-2024</t>
        </is>
      </c>
      <c r="B76" s="1" t="n">
        <v>45418.63149305555</v>
      </c>
      <c r="C76" s="1" t="n">
        <v>46132</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25584-2023</t>
        </is>
      </c>
      <c r="B77" s="1" t="n">
        <v>45089</v>
      </c>
      <c r="C77" s="1" t="n">
        <v>46132</v>
      </c>
      <c r="D77" t="inlineStr">
        <is>
          <t>STOCKHOLMS LÄN</t>
        </is>
      </c>
      <c r="E77" t="inlineStr">
        <is>
          <t>HANINGE</t>
        </is>
      </c>
      <c r="G77" t="n">
        <v>4.8</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46132</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46132</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46132</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46132</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46132</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46132</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46132</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46132</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46132</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46132</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13046-2022</t>
        </is>
      </c>
      <c r="B88" s="1" t="n">
        <v>44643</v>
      </c>
      <c r="C88" s="1" t="n">
        <v>46132</v>
      </c>
      <c r="D88" t="inlineStr">
        <is>
          <t>STOCKHOLMS LÄN</t>
        </is>
      </c>
      <c r="E88" t="inlineStr">
        <is>
          <t>HANINGE</t>
        </is>
      </c>
      <c r="G88" t="n">
        <v>2.3</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46132</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46132</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46132</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46132</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46132</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46132</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ht="15" customHeight="1">
      <c r="A95" t="inlineStr">
        <is>
          <t>A 52836-2024</t>
        </is>
      </c>
      <c r="B95" s="1" t="n">
        <v>45610.59637731482</v>
      </c>
      <c r="C95" s="1" t="n">
        <v>46132</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ht="15" customHeight="1">
      <c r="A96" t="inlineStr">
        <is>
          <t>A 5474-2024</t>
        </is>
      </c>
      <c r="B96" s="1" t="n">
        <v>45333.51131944444</v>
      </c>
      <c r="C96" s="1" t="n">
        <v>46132</v>
      </c>
      <c r="D96" t="inlineStr">
        <is>
          <t>STOCKHOLMS LÄN</t>
        </is>
      </c>
      <c r="E96" t="inlineStr">
        <is>
          <t>HANINGE</t>
        </is>
      </c>
      <c r="F96" t="inlineStr">
        <is>
          <t>Kommuner</t>
        </is>
      </c>
      <c r="G96" t="n">
        <v>0.9</v>
      </c>
      <c r="H96" t="n">
        <v>0</v>
      </c>
      <c r="I96" t="n">
        <v>0</v>
      </c>
      <c r="J96" t="n">
        <v>0</v>
      </c>
      <c r="K96" t="n">
        <v>0</v>
      </c>
      <c r="L96" t="n">
        <v>0</v>
      </c>
      <c r="M96" t="n">
        <v>0</v>
      </c>
      <c r="N96" t="n">
        <v>0</v>
      </c>
      <c r="O96" t="n">
        <v>0</v>
      </c>
      <c r="P96" t="n">
        <v>0</v>
      </c>
      <c r="Q96" t="n">
        <v>0</v>
      </c>
      <c r="R96" s="2" t="inlineStr"/>
    </row>
    <row r="97">
      <c r="A97" t="inlineStr">
        <is>
          <t>A 14900-2025</t>
        </is>
      </c>
      <c r="B97" s="1" t="n">
        <v>45743.48729166666</v>
      </c>
      <c r="C97" s="1" t="n">
        <v>46132</v>
      </c>
      <c r="D97" t="inlineStr">
        <is>
          <t>STOCKHOLMS LÄN</t>
        </is>
      </c>
      <c r="E97" t="inlineStr">
        <is>
          <t>HANINGE</t>
        </is>
      </c>
      <c r="G97" t="n">
        <v>4.5</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2026-04-20T10:26:58Z</dcterms:created>
  <dcterms:modified xmlns:dcterms="http://purl.org/dc/terms/" xmlns:xsi="http://www.w3.org/2001/XMLSchema-instance" xsi:type="dcterms:W3CDTF">2026-04-20T10:26:58Z</dcterms:modified>
</cp:coreProperties>
</file>