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46313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46313</v>
      </c>
      <c r="F3" t="inlineStr">
        <is>
          <t>STOCKHOLMS LÄN</t>
        </is>
      </c>
      <c r="G3" t="inlineStr">
        <is>
          <t>HANINGE</t>
        </is>
      </c>
      <c r="I3" t="n">
        <v>19.9</v>
      </c>
      <c r="J3" t="n">
        <v>23</v>
      </c>
      <c r="K3" t="n">
        <v>21</v>
      </c>
      <c r="L3" t="n">
        <v>19</v>
      </c>
      <c r="M3" t="n">
        <v>8</v>
      </c>
      <c r="N3" t="n">
        <v>0</v>
      </c>
      <c r="O3" t="n">
        <v>0</v>
      </c>
      <c r="P3" t="n">
        <v>0</v>
      </c>
      <c r="Q3" t="n">
        <v>27</v>
      </c>
      <c r="R3" t="n">
        <v>8</v>
      </c>
      <c r="S3" t="n">
        <v>65</v>
      </c>
      <c r="T3" t="n">
        <v>296</v>
      </c>
      <c r="U3" t="n">
        <v>161</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46313</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46313</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46313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46313</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46313</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46313</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46313</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46313</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46313</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46313</v>
      </c>
      <c r="F13" t="inlineStr">
        <is>
          <t>STOCKHOLMS LÄN</t>
        </is>
      </c>
      <c r="G13" t="inlineStr">
        <is>
          <t>HANINGE</t>
        </is>
      </c>
      <c r="I13" t="n">
        <v>1.7</v>
      </c>
      <c r="J13" t="n">
        <v>5</v>
      </c>
      <c r="K13" t="n">
        <v>5</v>
      </c>
      <c r="L13" t="n">
        <v>3</v>
      </c>
      <c r="M13" t="n">
        <v>1</v>
      </c>
      <c r="N13" t="n">
        <v>0</v>
      </c>
      <c r="O13" t="n">
        <v>0</v>
      </c>
      <c r="P13" t="n">
        <v>0</v>
      </c>
      <c r="Q13" t="n">
        <v>4</v>
      </c>
      <c r="R13" t="n">
        <v>1</v>
      </c>
      <c r="S13" t="n">
        <v>14</v>
      </c>
      <c r="T13" t="n">
        <v>25</v>
      </c>
      <c r="U13" t="n">
        <v>23</v>
      </c>
      <c r="V13" s="2" t="inlineStr">
        <is>
          <t>Rotfingersvamp
Tallkötticka
Talltita
Ullticka
Grön sköldmossa
Grönpyrola
Kornknutmossa
Mindre märgborre
Vedticka
Ekbräken
Hultbräken
Spillkråka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46313</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68883-2021</t>
        </is>
      </c>
      <c r="B15" t="inlineStr">
        <is>
          <t>avverkningsanmälan</t>
        </is>
      </c>
      <c r="C15" t="inlineStr">
        <is>
          <t>Avverkning för att bevara och utveckla /försöksver</t>
        </is>
      </c>
      <c r="D15" s="1" t="n">
        <v>44526</v>
      </c>
      <c r="E15" s="1" t="n">
        <v>46313</v>
      </c>
      <c r="F15" t="inlineStr">
        <is>
          <t>STOCKHOLMS LÄN</t>
        </is>
      </c>
      <c r="G15" t="inlineStr">
        <is>
          <t>HANINGE</t>
        </is>
      </c>
      <c r="I15" t="n">
        <v>2.5</v>
      </c>
      <c r="J15" t="n">
        <v>2</v>
      </c>
      <c r="K15" t="n">
        <v>0</v>
      </c>
      <c r="L15" t="n">
        <v>3</v>
      </c>
      <c r="M15" t="n">
        <v>1</v>
      </c>
      <c r="N15" t="n">
        <v>0</v>
      </c>
      <c r="O15" t="n">
        <v>0</v>
      </c>
      <c r="P15" t="n">
        <v>0</v>
      </c>
      <c r="Q15" t="n">
        <v>4</v>
      </c>
      <c r="R15" t="n">
        <v>1</v>
      </c>
      <c r="S15" t="n">
        <v>6</v>
      </c>
      <c r="T15" t="n">
        <v>9</v>
      </c>
      <c r="U15" t="n">
        <v>0</v>
      </c>
      <c r="V15" s="2" t="inlineStr">
        <is>
          <t>Kvällsmaskros
Jungfrulin
Slåtterfibbla
Sårläka
Fläcknycklar
Nattviol</t>
        </is>
      </c>
      <c r="W15">
        <f>HYPERLINK("https://klasma.github.io/Logging_0136/artfynd/A 68883-2021 artfynd.xlsx", "A 68883-2021")</f>
        <v/>
      </c>
      <c r="X15">
        <f>HYPERLINK("https://klasma.github.io/Logging_0136/kartor/A 68883-2021 karta.png", "A 68883-2021")</f>
        <v/>
      </c>
      <c r="Y15">
        <f>HYPERLINK("https://klasma.github.io/Logging_0136/kartor_geotiff/A 68883-2021 georefererad karta.tif", "A 68883-2021")</f>
        <v/>
      </c>
      <c r="AA15">
        <f>HYPERLINK("https://klasma.github.io/Logging_0136/klagomål/A 68883-2021 FSC-klagomål.docx", "A 68883-2021")</f>
        <v/>
      </c>
      <c r="AB15">
        <f>HYPERLINK("https://klasma.github.io/Logging_0136/klagomålsmail/A 68883-2021 FSC-klagomål mail.docx", "A 68883-2021")</f>
        <v/>
      </c>
      <c r="AC15">
        <f>HYPERLINK("https://klasma.github.io/Logging_0136/tillsyn/A 68883-2021 tillsynsbegäran.docx", "A 68883-2021")</f>
        <v/>
      </c>
      <c r="AD15">
        <f>HYPERLINK("https://klasma.github.io/Logging_0136/tillsynsmail/A 68883-2021 tillsynsbegäran mail.docx", "A 68883-2021")</f>
        <v/>
      </c>
    </row>
    <row r="16" ht="15" customHeight="1">
      <c r="A16" t="inlineStr">
        <is>
          <t>A 47707-2023</t>
        </is>
      </c>
      <c r="B16" t="inlineStr">
        <is>
          <t>avverkningsanmälan</t>
        </is>
      </c>
      <c r="C16" t="inlineStr">
        <is>
          <t>Föryngringsavverkning</t>
        </is>
      </c>
      <c r="D16" s="1" t="n">
        <v>45203</v>
      </c>
      <c r="E16" s="1" t="n">
        <v>46313</v>
      </c>
      <c r="F16" t="inlineStr">
        <is>
          <t>STOCKHOLMS LÄN</t>
        </is>
      </c>
      <c r="G16" t="inlineStr">
        <is>
          <t>HANINGE</t>
        </is>
      </c>
      <c r="I16" t="n">
        <v>1.4</v>
      </c>
      <c r="J16" t="n">
        <v>0</v>
      </c>
      <c r="K16" t="n">
        <v>4</v>
      </c>
      <c r="L16" t="n">
        <v>1</v>
      </c>
      <c r="M16" t="n">
        <v>0</v>
      </c>
      <c r="N16" t="n">
        <v>0</v>
      </c>
      <c r="O16" t="n">
        <v>0</v>
      </c>
      <c r="P16" t="n">
        <v>0</v>
      </c>
      <c r="Q16" t="n">
        <v>1</v>
      </c>
      <c r="R16" t="n">
        <v>0</v>
      </c>
      <c r="S16" t="n">
        <v>5</v>
      </c>
      <c r="T16" t="n">
        <v>10</v>
      </c>
      <c r="U16" t="n">
        <v>8</v>
      </c>
      <c r="V16" s="2" t="inlineStr">
        <is>
          <t>Motaggsvamp
Granbarkgnagare
Stubbspretmossa
Större träfjäril
Vågbandad barkbock</t>
        </is>
      </c>
      <c r="W16">
        <f>HYPERLINK("https://klasma.github.io/Logging_0136/artfynd/A 47707-2023 artfynd.xlsx", "A 47707-2023")</f>
        <v/>
      </c>
      <c r="X16">
        <f>HYPERLINK("https://klasma.github.io/Logging_0136/kartor/A 47707-2023 karta.png", "A 47707-2023")</f>
        <v/>
      </c>
      <c r="Y16">
        <f>HYPERLINK("https://klasma.github.io/Logging_0136/kartor_geotiff/A 47707-2023 georefererad karta.tif", "A 47707-2023")</f>
        <v/>
      </c>
      <c r="AA16">
        <f>HYPERLINK("https://klasma.github.io/Logging_0136/klagomål/A 47707-2023 FSC-klagomål.docx", "A 47707-2023")</f>
        <v/>
      </c>
      <c r="AB16">
        <f>HYPERLINK("https://klasma.github.io/Logging_0136/klagomålsmail/A 47707-2023 FSC-klagomål mail.docx", "A 47707-2023")</f>
        <v/>
      </c>
      <c r="AC16">
        <f>HYPERLINK("https://klasma.github.io/Logging_0136/tillsyn/A 47707-2023 tillsynsbegäran.docx", "A 47707-2023")</f>
        <v/>
      </c>
      <c r="AD16">
        <f>HYPERLINK("https://klasma.github.io/Logging_0136/tillsynsmail/A 47707-2023 tillsynsbegäran mail.docx", "A 47707-2023")</f>
        <v/>
      </c>
    </row>
    <row r="17" ht="15" customHeight="1">
      <c r="A17" t="inlineStr">
        <is>
          <t>A 28861-2026</t>
        </is>
      </c>
      <c r="B17" t="inlineStr">
        <is>
          <t>avverkningsanmälan</t>
        </is>
      </c>
      <c r="C17" t="inlineStr">
        <is>
          <t>Avverkning för annat ändamål</t>
        </is>
      </c>
      <c r="D17" s="1" t="n">
        <v>46199</v>
      </c>
      <c r="E17" s="1" t="n">
        <v>46313</v>
      </c>
      <c r="F17" t="inlineStr">
        <is>
          <t>STOCKHOLMS LÄN</t>
        </is>
      </c>
      <c r="G17" t="inlineStr">
        <is>
          <t>HANINGE</t>
        </is>
      </c>
      <c r="I17" t="n">
        <v>1.3</v>
      </c>
      <c r="J17" t="n">
        <v>1</v>
      </c>
      <c r="K17" t="n">
        <v>1</v>
      </c>
      <c r="L17" t="n">
        <v>1</v>
      </c>
      <c r="M17" t="n">
        <v>0</v>
      </c>
      <c r="N17" t="n">
        <v>0</v>
      </c>
      <c r="O17" t="n">
        <v>0</v>
      </c>
      <c r="P17" t="n">
        <v>0</v>
      </c>
      <c r="Q17" t="n">
        <v>1</v>
      </c>
      <c r="R17" t="n">
        <v>0</v>
      </c>
      <c r="S17" t="n">
        <v>3</v>
      </c>
      <c r="T17" t="n">
        <v>3</v>
      </c>
      <c r="U17" t="n">
        <v>2</v>
      </c>
      <c r="V17" s="2" t="inlineStr">
        <is>
          <t>Skogshare
Grovticka
Nattskärra</t>
        </is>
      </c>
      <c r="W17">
        <f>HYPERLINK("https://klasma.github.io/Logging_0136/artfynd/A 28861-2026 artfynd.xlsx", "A 28861-2026")</f>
        <v/>
      </c>
      <c r="X17">
        <f>HYPERLINK("https://klasma.github.io/Logging_0136/kartor/A 28861-2026 karta.png", "A 28861-2026")</f>
        <v/>
      </c>
      <c r="Y17">
        <f>HYPERLINK("https://klasma.github.io/Logging_0136/kartor_geotiff/A 28861-2026 georefererad karta.tif", "A 28861-2026")</f>
        <v/>
      </c>
      <c r="AA17">
        <f>HYPERLINK("https://klasma.github.io/Logging_0136/klagomål/A 28861-2026 FSC-klagomål.docx", "A 28861-2026")</f>
        <v/>
      </c>
      <c r="AB17">
        <f>HYPERLINK("https://klasma.github.io/Logging_0136/klagomålsmail/A 28861-2026 FSC-klagomål mail.docx", "A 28861-2026")</f>
        <v/>
      </c>
      <c r="AC17">
        <f>HYPERLINK("https://klasma.github.io/Logging_0136/tillsyn/A 28861-2026 tillsynsbegäran.docx", "A 28861-2026")</f>
        <v/>
      </c>
      <c r="AD17">
        <f>HYPERLINK("https://klasma.github.io/Logging_0136/tillsynsmail/A 28861-2026 tillsynsbegäran mail.docx", "A 28861-2026")</f>
        <v/>
      </c>
      <c r="AE17">
        <f>HYPERLINK("https://klasma.github.io/Logging_0136/fåglar/A 28861-2026 prioriterade fågelarter.docx", "A 28861-2026")</f>
        <v/>
      </c>
    </row>
    <row r="18" ht="15" customHeight="1">
      <c r="A18" t="inlineStr">
        <is>
          <t>A 14729-2023</t>
        </is>
      </c>
      <c r="B18" t="inlineStr">
        <is>
          <t>avverkningsanmälan</t>
        </is>
      </c>
      <c r="C18" t="inlineStr">
        <is>
          <t>Föryngringsavverkning</t>
        </is>
      </c>
      <c r="D18" s="1" t="n">
        <v>45014</v>
      </c>
      <c r="E18" s="1" t="n">
        <v>46313</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21231-2025</t>
        </is>
      </c>
      <c r="B19" t="inlineStr">
        <is>
          <t>avverkningsanmälan</t>
        </is>
      </c>
      <c r="C19" t="inlineStr">
        <is>
          <t>Föryngringsavverkning</t>
        </is>
      </c>
      <c r="D19" s="1" t="n">
        <v>45779</v>
      </c>
      <c r="E19" s="1" t="n">
        <v>46313</v>
      </c>
      <c r="F19" t="inlineStr">
        <is>
          <t>STOCKHOLMS LÄN</t>
        </is>
      </c>
      <c r="G19" t="inlineStr">
        <is>
          <t>HANINGE</t>
        </is>
      </c>
      <c r="I19" t="n">
        <v>4.3</v>
      </c>
      <c r="J19" t="n">
        <v>2</v>
      </c>
      <c r="K19" t="n">
        <v>0</v>
      </c>
      <c r="L19" t="n">
        <v>1</v>
      </c>
      <c r="M19" t="n">
        <v>0</v>
      </c>
      <c r="N19" t="n">
        <v>0</v>
      </c>
      <c r="O19" t="n">
        <v>0</v>
      </c>
      <c r="P19" t="n">
        <v>0</v>
      </c>
      <c r="Q19" t="n">
        <v>1</v>
      </c>
      <c r="R19" t="n">
        <v>0</v>
      </c>
      <c r="S19" t="n">
        <v>3</v>
      </c>
      <c r="T19" t="n">
        <v>3</v>
      </c>
      <c r="U19" t="n">
        <v>1</v>
      </c>
      <c r="V19" s="2" t="inlineStr">
        <is>
          <t>Gullpudra
Spillkråka
Trana</t>
        </is>
      </c>
      <c r="W19">
        <f>HYPERLINK("https://klasma.github.io/Logging_0136/artfynd/A 21231-2025 artfynd.xlsx", "A 21231-2025")</f>
        <v/>
      </c>
      <c r="X19">
        <f>HYPERLINK("https://klasma.github.io/Logging_0136/kartor/A 21231-2025 karta.png", "A 21231-2025")</f>
        <v/>
      </c>
      <c r="Y19">
        <f>HYPERLINK("https://klasma.github.io/Logging_0136/kartor_geotiff/A 21231-2025 georefererad karta.tif", "A 21231-2025")</f>
        <v/>
      </c>
      <c r="AA19">
        <f>HYPERLINK("https://klasma.github.io/Logging_0136/klagomål/A 21231-2025 FSC-klagomål.docx", "A 21231-2025")</f>
        <v/>
      </c>
      <c r="AB19">
        <f>HYPERLINK("https://klasma.github.io/Logging_0136/klagomålsmail/A 21231-2025 FSC-klagomål mail.docx", "A 21231-2025")</f>
        <v/>
      </c>
      <c r="AC19">
        <f>HYPERLINK("https://klasma.github.io/Logging_0136/tillsyn/A 21231-2025 tillsynsbegäran.docx", "A 21231-2025")</f>
        <v/>
      </c>
      <c r="AD19">
        <f>HYPERLINK("https://klasma.github.io/Logging_0136/tillsynsmail/A 21231-2025 tillsynsbegäran mail.docx", "A 21231-2025")</f>
        <v/>
      </c>
      <c r="AE19">
        <f>HYPERLINK("https://klasma.github.io/Logging_0136/fåglar/A 21231-2025 prioriterade fågelarter.docx", "A 21231-2025")</f>
        <v/>
      </c>
    </row>
    <row r="20" ht="15" customHeight="1">
      <c r="A20" t="inlineStr">
        <is>
          <t>A 39636-2022</t>
        </is>
      </c>
      <c r="B20" t="inlineStr">
        <is>
          <t>avverkningsanmälan</t>
        </is>
      </c>
      <c r="C20" t="inlineStr">
        <is>
          <t>Föryngringsavverkning</t>
        </is>
      </c>
      <c r="D20" s="1" t="n">
        <v>44818</v>
      </c>
      <c r="E20" s="1" t="n">
        <v>46313</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46313</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46313</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34823-2022</t>
        </is>
      </c>
      <c r="B23" t="inlineStr">
        <is>
          <t>avverkningsanmälan</t>
        </is>
      </c>
      <c r="C23" t="inlineStr">
        <is>
          <t>Föryngringsavverkning</t>
        </is>
      </c>
      <c r="D23" s="1" t="n">
        <v>44796</v>
      </c>
      <c r="E23" s="1" t="n">
        <v>46313</v>
      </c>
      <c r="F23" t="inlineStr">
        <is>
          <t>STOCKHOLMS LÄN</t>
        </is>
      </c>
      <c r="G23" t="inlineStr">
        <is>
          <t>HANINGE</t>
        </is>
      </c>
      <c r="I23" t="n">
        <v>12</v>
      </c>
      <c r="J23" t="n">
        <v>0</v>
      </c>
      <c r="K23" t="n">
        <v>0</v>
      </c>
      <c r="L23" t="n">
        <v>0</v>
      </c>
      <c r="M23" t="n">
        <v>1</v>
      </c>
      <c r="N23" t="n">
        <v>0</v>
      </c>
      <c r="O23" t="n">
        <v>0</v>
      </c>
      <c r="P23" t="n">
        <v>0</v>
      </c>
      <c r="Q23" t="n">
        <v>1</v>
      </c>
      <c r="R23" t="n">
        <v>1</v>
      </c>
      <c r="S23" t="n">
        <v>1</v>
      </c>
      <c r="T23" t="n">
        <v>1</v>
      </c>
      <c r="U23" t="n">
        <v>0</v>
      </c>
      <c r="V23" s="2" t="inlineStr">
        <is>
          <t>Mörk kraterlav</t>
        </is>
      </c>
      <c r="W23">
        <f>HYPERLINK("https://klasma.github.io/Logging_0136/artfynd/A 34823-2022 artfynd.xlsx", "A 34823-2022")</f>
        <v/>
      </c>
      <c r="X23">
        <f>HYPERLINK("https://klasma.github.io/Logging_0136/kartor/A 34823-2022 karta.png", "A 34823-2022")</f>
        <v/>
      </c>
      <c r="Y23">
        <f>HYPERLINK("https://klasma.github.io/Logging_0136/kartor_geotiff/A 34823-2022 georefererad karta.tif", "A 34823-2022")</f>
        <v/>
      </c>
      <c r="AA23">
        <f>HYPERLINK("https://klasma.github.io/Logging_0136/klagomål/A 34823-2022 FSC-klagomål.docx", "A 34823-2022")</f>
        <v/>
      </c>
      <c r="AB23">
        <f>HYPERLINK("https://klasma.github.io/Logging_0136/klagomålsmail/A 34823-2022 FSC-klagomål mail.docx", "A 34823-2022")</f>
        <v/>
      </c>
      <c r="AC23">
        <f>HYPERLINK("https://klasma.github.io/Logging_0136/tillsyn/A 34823-2022 tillsynsbegäran.docx", "A 34823-2022")</f>
        <v/>
      </c>
      <c r="AD23">
        <f>HYPERLINK("https://klasma.github.io/Logging_0136/tillsynsmail/A 34823-2022 tillsynsbegäran mail.docx", "A 34823-2022")</f>
        <v/>
      </c>
    </row>
    <row r="24" ht="15" customHeight="1">
      <c r="A24" t="inlineStr">
        <is>
          <t>A 6648-2023</t>
        </is>
      </c>
      <c r="B24" t="inlineStr">
        <is>
          <t>avverkningsanmälan</t>
        </is>
      </c>
      <c r="C24" t="inlineStr">
        <is>
          <t>Föryngringsavverkning</t>
        </is>
      </c>
      <c r="D24" s="1" t="n">
        <v>44966</v>
      </c>
      <c r="E24" s="1" t="n">
        <v>46313</v>
      </c>
      <c r="F24" t="inlineStr">
        <is>
          <t>STOCKHOLMS LÄN</t>
        </is>
      </c>
      <c r="G24" t="inlineStr">
        <is>
          <t>HANINGE</t>
        </is>
      </c>
      <c r="I24" t="n">
        <v>4</v>
      </c>
      <c r="J24" t="n">
        <v>1</v>
      </c>
      <c r="K24" t="n">
        <v>0</v>
      </c>
      <c r="L24" t="n">
        <v>1</v>
      </c>
      <c r="M24" t="n">
        <v>0</v>
      </c>
      <c r="N24" t="n">
        <v>0</v>
      </c>
      <c r="O24" t="n">
        <v>0</v>
      </c>
      <c r="P24" t="n">
        <v>0</v>
      </c>
      <c r="Q24" t="n">
        <v>1</v>
      </c>
      <c r="R24" t="n">
        <v>0</v>
      </c>
      <c r="S24" t="n">
        <v>1</v>
      </c>
      <c r="T24" t="n">
        <v>1</v>
      </c>
      <c r="U24" t="n">
        <v>0</v>
      </c>
      <c r="V24" s="2" t="inlineStr">
        <is>
          <t>Nötkråka</t>
        </is>
      </c>
      <c r="W24">
        <f>HYPERLINK("https://klasma.github.io/Logging_0136/artfynd/A 6648-2023 artfynd.xlsx", "A 6648-2023")</f>
        <v/>
      </c>
      <c r="X24">
        <f>HYPERLINK("https://klasma.github.io/Logging_0136/kartor/A 6648-2023 karta.png", "A 6648-2023")</f>
        <v/>
      </c>
      <c r="Y24">
        <f>HYPERLINK("https://klasma.github.io/Logging_0136/kartor_geotiff/A 6648-2023 georefererad karta.tif", "A 6648-2023")</f>
        <v/>
      </c>
      <c r="AA24">
        <f>HYPERLINK("https://klasma.github.io/Logging_0136/klagomål/A 6648-2023 FSC-klagomål.docx", "A 6648-2023")</f>
        <v/>
      </c>
      <c r="AB24">
        <f>HYPERLINK("https://klasma.github.io/Logging_0136/klagomålsmail/A 6648-2023 FSC-klagomål mail.docx", "A 6648-2023")</f>
        <v/>
      </c>
      <c r="AC24">
        <f>HYPERLINK("https://klasma.github.io/Logging_0136/tillsyn/A 6648-2023 tillsynsbegäran.docx", "A 6648-2023")</f>
        <v/>
      </c>
      <c r="AD24">
        <f>HYPERLINK("https://klasma.github.io/Logging_0136/tillsynsmail/A 6648-2023 tillsynsbegäran mail.docx", "A 6648-2023")</f>
        <v/>
      </c>
      <c r="AE24">
        <f>HYPERLINK("https://klasma.github.io/Logging_0136/fåglar/A 6648-2023 prioriterade fågelarter.docx", "A 6648-2023")</f>
        <v/>
      </c>
    </row>
    <row r="25" ht="15" customHeight="1">
      <c r="A25" t="inlineStr">
        <is>
          <t>A 60369-2023</t>
        </is>
      </c>
      <c r="B25" t="inlineStr">
        <is>
          <t>avverkningsanmälan</t>
        </is>
      </c>
      <c r="C25" t="inlineStr">
        <is>
          <t>Föryngringsavverkning</t>
        </is>
      </c>
      <c r="D25" s="1" t="n">
        <v>45259</v>
      </c>
      <c r="E25" s="1" t="n">
        <v>46313</v>
      </c>
      <c r="F25" t="inlineStr">
        <is>
          <t>STOCKHOLMS LÄN</t>
        </is>
      </c>
      <c r="G25" t="inlineStr">
        <is>
          <t>HANINGE</t>
        </is>
      </c>
      <c r="I25" t="n">
        <v>2.9</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HYPERLINK("https://klasma.github.io/Logging_0136/artfynd/A 60369-2023 artfynd.xlsx", "A 60369-2023")</f>
        <v/>
      </c>
      <c r="X25">
        <f>HYPERLINK("https://klasma.github.io/Logging_0136/kartor/A 60369-2023 karta.png", "A 60369-2023")</f>
        <v/>
      </c>
      <c r="Y25">
        <f>HYPERLINK("https://klasma.github.io/Logging_0136/kartor_geotiff/A 60369-2023 georefererad karta.tif", "A 60369-2023")</f>
        <v/>
      </c>
      <c r="AA25">
        <f>HYPERLINK("https://klasma.github.io/Logging_0136/klagomål/A 60369-2023 FSC-klagomål.docx", "A 60369-2023")</f>
        <v/>
      </c>
      <c r="AB25">
        <f>HYPERLINK("https://klasma.github.io/Logging_0136/klagomålsmail/A 60369-2023 FSC-klagomål mail.docx", "A 60369-2023")</f>
        <v/>
      </c>
      <c r="AC25">
        <f>HYPERLINK("https://klasma.github.io/Logging_0136/tillsyn/A 60369-2023 tillsynsbegäran.docx", "A 60369-2023")</f>
        <v/>
      </c>
      <c r="AD25">
        <f>HYPERLINK("https://klasma.github.io/Logging_0136/tillsynsmail/A 60369-2023 tillsynsbegäran mail.docx", "A 60369-2023")</f>
        <v/>
      </c>
    </row>
    <row r="26" ht="15" customHeight="1">
      <c r="A26" t="inlineStr">
        <is>
          <t>A 32479-2026</t>
        </is>
      </c>
      <c r="B26" t="inlineStr">
        <is>
          <t>avverkningsanmälan</t>
        </is>
      </c>
      <c r="C26" t="inlineStr">
        <is>
          <t>Föryngringsavverkning</t>
        </is>
      </c>
      <c r="D26" s="1" t="n">
        <v>46239</v>
      </c>
      <c r="E26" s="1" t="n">
        <v>46313</v>
      </c>
      <c r="F26" t="inlineStr">
        <is>
          <t>STOCKHOLMS LÄN</t>
        </is>
      </c>
      <c r="G26" t="inlineStr">
        <is>
          <t>HANINGE</t>
        </is>
      </c>
      <c r="I26" t="n">
        <v>6.9</v>
      </c>
      <c r="J26" t="n">
        <v>0</v>
      </c>
      <c r="K26" t="n">
        <v>1</v>
      </c>
      <c r="L26" t="n">
        <v>0</v>
      </c>
      <c r="M26" t="n">
        <v>0</v>
      </c>
      <c r="N26" t="n">
        <v>0</v>
      </c>
      <c r="O26" t="n">
        <v>0</v>
      </c>
      <c r="P26" t="n">
        <v>0</v>
      </c>
      <c r="Q26" t="n">
        <v>0</v>
      </c>
      <c r="R26" t="n">
        <v>0</v>
      </c>
      <c r="S26" t="n">
        <v>1</v>
      </c>
      <c r="T26" t="n">
        <v>1</v>
      </c>
      <c r="U26" t="n">
        <v>0</v>
      </c>
      <c r="V26" s="2" t="inlineStr">
        <is>
          <t>Kambräken</t>
        </is>
      </c>
      <c r="W26">
        <f>HYPERLINK("https://klasma.github.io/Logging_0136/artfynd/A 32479-2026 artfynd.xlsx", "A 32479-2026")</f>
        <v/>
      </c>
      <c r="X26">
        <f>HYPERLINK("https://klasma.github.io/Logging_0136/kartor/A 32479-2026 karta.png", "A 32479-2026")</f>
        <v/>
      </c>
      <c r="Y26">
        <f>HYPERLINK("https://klasma.github.io/Logging_0136/kartor_geotiff/A 32479-2026 georefererad karta.tif", "A 32479-2026")</f>
        <v/>
      </c>
      <c r="AA26">
        <f>HYPERLINK("https://klasma.github.io/Logging_0136/klagomål/A 32479-2026 FSC-klagomål.docx", "A 32479-2026")</f>
        <v/>
      </c>
      <c r="AB26">
        <f>HYPERLINK("https://klasma.github.io/Logging_0136/klagomålsmail/A 32479-2026 FSC-klagomål mail.docx", "A 32479-2026")</f>
        <v/>
      </c>
      <c r="AC26">
        <f>HYPERLINK("https://klasma.github.io/Logging_0136/tillsyn/A 32479-2026 tillsynsbegäran.docx", "A 32479-2026")</f>
        <v/>
      </c>
      <c r="AD26">
        <f>HYPERLINK("https://klasma.github.io/Logging_0136/tillsynsmail/A 32479-2026 tillsynsbegäran mail.docx", "A 32479-2026")</f>
        <v/>
      </c>
    </row>
    <row r="27" ht="15" customHeight="1">
      <c r="A27" t="inlineStr">
        <is>
          <t>A 41259-2022</t>
        </is>
      </c>
      <c r="B27" t="inlineStr">
        <is>
          <t>avverkningsanmälan</t>
        </is>
      </c>
      <c r="C27" t="inlineStr">
        <is>
          <t>Föryngringsavverkning</t>
        </is>
      </c>
      <c r="D27" s="1" t="n">
        <v>44825</v>
      </c>
      <c r="E27" s="1" t="n">
        <v>46313</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46313</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46313</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46313</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46313</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46313</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46313</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46313</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46313</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4297-2024</t>
        </is>
      </c>
      <c r="B36" t="inlineStr">
        <is>
          <t>avverkningsanmälan</t>
        </is>
      </c>
      <c r="C36" t="inlineStr">
        <is>
          <t>Föryngringsavverkning</t>
        </is>
      </c>
      <c r="D36" s="1" t="n">
        <v>45324</v>
      </c>
      <c r="E36" s="1" t="n">
        <v>46313</v>
      </c>
      <c r="F36" t="inlineStr">
        <is>
          <t>STOCKHOLMS LÄN</t>
        </is>
      </c>
      <c r="G36" t="inlineStr">
        <is>
          <t>HANINGE</t>
        </is>
      </c>
      <c r="H36" t="inlineStr">
        <is>
          <t>Kommuner</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9946-2024</t>
        </is>
      </c>
      <c r="B37" t="inlineStr">
        <is>
          <t>avverkningsanmälan</t>
        </is>
      </c>
      <c r="C37" t="inlineStr">
        <is>
          <t>Föryngringsavverkning</t>
        </is>
      </c>
      <c r="D37" s="1" t="n">
        <v>45363</v>
      </c>
      <c r="E37" s="1" t="n">
        <v>46313</v>
      </c>
      <c r="F37" t="inlineStr">
        <is>
          <t>STOCKHOLMS LÄN</t>
        </is>
      </c>
      <c r="G37" t="inlineStr">
        <is>
          <t>HANINGE</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46313</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50306-2023</t>
        </is>
      </c>
      <c r="B39" t="inlineStr">
        <is>
          <t>avverkningsanmälan</t>
        </is>
      </c>
      <c r="C39" t="inlineStr">
        <is>
          <t>Föryngringsavverkning</t>
        </is>
      </c>
      <c r="D39" s="1" t="n">
        <v>45209</v>
      </c>
      <c r="E39" s="1" t="n">
        <v>46313</v>
      </c>
      <c r="F39" t="inlineStr">
        <is>
          <t>STOCKHOLMS LÄN</t>
        </is>
      </c>
      <c r="G39" t="inlineStr">
        <is>
          <t>HANINGE</t>
        </is>
      </c>
      <c r="I39" t="n">
        <v>2.3</v>
      </c>
      <c r="J39" t="n">
        <v>0</v>
      </c>
      <c r="K39" t="n">
        <v>0</v>
      </c>
      <c r="L39" t="n">
        <v>0</v>
      </c>
      <c r="M39" t="n">
        <v>0</v>
      </c>
      <c r="N39" t="n">
        <v>0</v>
      </c>
      <c r="O39" t="n">
        <v>0</v>
      </c>
      <c r="P39" t="n">
        <v>0</v>
      </c>
      <c r="Q39" t="n">
        <v>0</v>
      </c>
      <c r="R39" t="n">
        <v>0</v>
      </c>
      <c r="S39" t="n">
        <v>0</v>
      </c>
      <c r="T39" t="n">
        <v>0</v>
      </c>
      <c r="U39" t="n">
        <v>0</v>
      </c>
      <c r="V39" s="2" t="inlineStr"/>
      <c r="Z39">
        <f>HYPERLINK("https://klasma.github.io/Logging_0136/knärot/A 50306-2023 karta knärot.png", "A 50306-2023")</f>
        <v/>
      </c>
      <c r="AA39">
        <f>HYPERLINK("https://klasma.github.io/Logging_0136/klagomål/A 50306-2023 FSC-klagomål.docx", "A 50306-2023")</f>
        <v/>
      </c>
      <c r="AB39">
        <f>HYPERLINK("https://klasma.github.io/Logging_0136/klagomålsmail/A 50306-2023 FSC-klagomål mail.docx", "A 50306-2023")</f>
        <v/>
      </c>
      <c r="AC39">
        <f>HYPERLINK("https://klasma.github.io/Logging_0136/tillsyn/A 50306-2023 tillsynsbegäran.docx", "A 50306-2023")</f>
        <v/>
      </c>
      <c r="AD39">
        <f>HYPERLINK("https://klasma.github.io/Logging_0136/tillsynsmail/A 50306-2023 tillsynsbegäran mail.docx", "A 50306-2023")</f>
        <v/>
      </c>
    </row>
    <row r="40" ht="15" customHeight="1">
      <c r="A40" t="inlineStr">
        <is>
          <t>A 22288-2023</t>
        </is>
      </c>
      <c r="B40" t="inlineStr">
        <is>
          <t>avverkningsanmälan</t>
        </is>
      </c>
      <c r="C40" t="inlineStr">
        <is>
          <t>Föryngringsavverkning</t>
        </is>
      </c>
      <c r="D40" s="1" t="n">
        <v>45070</v>
      </c>
      <c r="E40" s="1" t="n">
        <v>46313</v>
      </c>
      <c r="F40" t="inlineStr">
        <is>
          <t>STOCKHOLMS LÄN</t>
        </is>
      </c>
      <c r="G40" t="inlineStr">
        <is>
          <t>HANINGE</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18512-2024</t>
        </is>
      </c>
      <c r="B41" t="inlineStr">
        <is>
          <t>avverkningsanmälan</t>
        </is>
      </c>
      <c r="C41" t="inlineStr">
        <is>
          <t>Föryngringsavverkning</t>
        </is>
      </c>
      <c r="D41" s="1" t="n">
        <v>45425</v>
      </c>
      <c r="E41" s="1" t="n">
        <v>46313</v>
      </c>
      <c r="F41" t="inlineStr">
        <is>
          <t>STOCKHOLMS LÄN</t>
        </is>
      </c>
      <c r="G41" t="inlineStr">
        <is>
          <t>HANINGE</t>
        </is>
      </c>
      <c r="H41" t="inlineStr">
        <is>
          <t>Kommuner</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32948-2025</t>
        </is>
      </c>
      <c r="B42" t="inlineStr">
        <is>
          <t>avverkningsanmälan</t>
        </is>
      </c>
      <c r="C42" t="inlineStr">
        <is>
          <t>Föryngringsavverkning</t>
        </is>
      </c>
      <c r="D42" s="1" t="n">
        <v>45839</v>
      </c>
      <c r="E42" s="1" t="n">
        <v>46313</v>
      </c>
      <c r="F42" t="inlineStr">
        <is>
          <t>STOCKHOLMS LÄN</t>
        </is>
      </c>
      <c r="G42" t="inlineStr">
        <is>
          <t>HANINGE</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48606-2025</t>
        </is>
      </c>
      <c r="B43" t="inlineStr">
        <is>
          <t>avverkningsanmälan</t>
        </is>
      </c>
      <c r="C43" t="inlineStr">
        <is>
          <t>Föryngringsavverkning</t>
        </is>
      </c>
      <c r="D43" s="1" t="n">
        <v>45936</v>
      </c>
      <c r="E43" s="1" t="n">
        <v>46313</v>
      </c>
      <c r="F43" t="inlineStr">
        <is>
          <t>STOCKHOLMS LÄN</t>
        </is>
      </c>
      <c r="G43" t="inlineStr">
        <is>
          <t>HANINGE</t>
        </is>
      </c>
      <c r="I43" t="n">
        <v>6.9</v>
      </c>
      <c r="J43" t="n">
        <v>0</v>
      </c>
      <c r="K43" t="n">
        <v>0</v>
      </c>
      <c r="L43" t="n">
        <v>0</v>
      </c>
      <c r="M43" t="n">
        <v>0</v>
      </c>
      <c r="N43" t="n">
        <v>0</v>
      </c>
      <c r="O43" t="n">
        <v>0</v>
      </c>
      <c r="P43" t="n">
        <v>0</v>
      </c>
      <c r="Q43" t="n">
        <v>0</v>
      </c>
      <c r="R43" t="n">
        <v>0</v>
      </c>
      <c r="S43" t="n">
        <v>0</v>
      </c>
      <c r="T43" t="n">
        <v>0</v>
      </c>
      <c r="U43" t="n">
        <v>0</v>
      </c>
      <c r="V43" s="2" t="inlineStr"/>
    </row>
    <row r="44" ht="15" customHeight="1">
      <c r="A44" t="inlineStr">
        <is>
          <t>A 52770-2024</t>
        </is>
      </c>
      <c r="B44" t="inlineStr">
        <is>
          <t>avverkningsanmälan</t>
        </is>
      </c>
      <c r="C44" t="inlineStr">
        <is>
          <t>Föryngringsavverkning</t>
        </is>
      </c>
      <c r="D44" s="1" t="n">
        <v>45610</v>
      </c>
      <c r="E44" s="1" t="n">
        <v>46313</v>
      </c>
      <c r="F44" t="inlineStr">
        <is>
          <t>STOCKHOLMS LÄN</t>
        </is>
      </c>
      <c r="G44" t="inlineStr">
        <is>
          <t>HANINGE</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18528-2024</t>
        </is>
      </c>
      <c r="B45" t="inlineStr">
        <is>
          <t>avverkningsanmälan</t>
        </is>
      </c>
      <c r="C45" t="inlineStr">
        <is>
          <t>Föryngringsavverkning</t>
        </is>
      </c>
      <c r="D45" s="1" t="n">
        <v>45425</v>
      </c>
      <c r="E45" s="1" t="n">
        <v>46313</v>
      </c>
      <c r="F45" t="inlineStr">
        <is>
          <t>STOCKHOLMS LÄN</t>
        </is>
      </c>
      <c r="G45" t="inlineStr">
        <is>
          <t>HANINGE</t>
        </is>
      </c>
      <c r="H45" t="inlineStr">
        <is>
          <t>Kommuner</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18490-2025</t>
        </is>
      </c>
      <c r="B46" t="inlineStr">
        <is>
          <t>avverkningsanmälan</t>
        </is>
      </c>
      <c r="C46" t="inlineStr">
        <is>
          <t>Föryngringsavverkning</t>
        </is>
      </c>
      <c r="D46" s="1" t="n">
        <v>45763</v>
      </c>
      <c r="E46" s="1" t="n">
        <v>46313</v>
      </c>
      <c r="F46" t="inlineStr">
        <is>
          <t>STOCKHOLMS LÄN</t>
        </is>
      </c>
      <c r="G46" t="inlineStr">
        <is>
          <t>HANINGE</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18548-2024</t>
        </is>
      </c>
      <c r="B47" t="inlineStr">
        <is>
          <t>avverkningsanmälan</t>
        </is>
      </c>
      <c r="C47" t="inlineStr">
        <is>
          <t>Föryngringsavverkning</t>
        </is>
      </c>
      <c r="D47" s="1" t="n">
        <v>45425</v>
      </c>
      <c r="E47" s="1" t="n">
        <v>46313</v>
      </c>
      <c r="F47" t="inlineStr">
        <is>
          <t>STOCKHOLMS LÄN</t>
        </is>
      </c>
      <c r="G47" t="inlineStr">
        <is>
          <t>HANINGE</t>
        </is>
      </c>
      <c r="H47" t="inlineStr">
        <is>
          <t>Kommuner</t>
        </is>
      </c>
      <c r="I47" t="n">
        <v>7.3</v>
      </c>
      <c r="J47" t="n">
        <v>0</v>
      </c>
      <c r="K47" t="n">
        <v>0</v>
      </c>
      <c r="L47" t="n">
        <v>0</v>
      </c>
      <c r="M47" t="n">
        <v>0</v>
      </c>
      <c r="N47" t="n">
        <v>0</v>
      </c>
      <c r="O47" t="n">
        <v>0</v>
      </c>
      <c r="P47" t="n">
        <v>0</v>
      </c>
      <c r="Q47" t="n">
        <v>0</v>
      </c>
      <c r="R47" t="n">
        <v>0</v>
      </c>
      <c r="S47" t="n">
        <v>0</v>
      </c>
      <c r="T47" t="n">
        <v>0</v>
      </c>
      <c r="U47" t="n">
        <v>0</v>
      </c>
      <c r="V47" s="2" t="inlineStr"/>
    </row>
    <row r="48" ht="15" customHeight="1">
      <c r="A48" t="inlineStr">
        <is>
          <t>A 20839-2024</t>
        </is>
      </c>
      <c r="B48" t="inlineStr">
        <is>
          <t>avverkningsanmälan</t>
        </is>
      </c>
      <c r="C48" t="inlineStr">
        <is>
          <t>Föryngringsavverkning</t>
        </is>
      </c>
      <c r="D48" s="1" t="n">
        <v>45439</v>
      </c>
      <c r="E48" s="1" t="n">
        <v>46313</v>
      </c>
      <c r="F48" t="inlineStr">
        <is>
          <t>STOCKHOLMS LÄN</t>
        </is>
      </c>
      <c r="G48" t="inlineStr">
        <is>
          <t>HANINGE</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5474-2024</t>
        </is>
      </c>
      <c r="B49" t="inlineStr">
        <is>
          <t>avverkningsanmälan</t>
        </is>
      </c>
      <c r="C49" t="inlineStr">
        <is>
          <t>Föryngringsavverkning</t>
        </is>
      </c>
      <c r="D49" s="1" t="n">
        <v>45333</v>
      </c>
      <c r="E49" s="1" t="n">
        <v>46313</v>
      </c>
      <c r="F49" t="inlineStr">
        <is>
          <t>STOCKHOLMS LÄN</t>
        </is>
      </c>
      <c r="G49" t="inlineStr">
        <is>
          <t>HANINGE</t>
        </is>
      </c>
      <c r="H49" t="inlineStr">
        <is>
          <t>Kommuner</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23666-2024</t>
        </is>
      </c>
      <c r="B50" t="inlineStr">
        <is>
          <t>avverkningsanmälan</t>
        </is>
      </c>
      <c r="C50" t="inlineStr">
        <is>
          <t>Föryngringsavverkning</t>
        </is>
      </c>
      <c r="D50" s="1" t="n">
        <v>45454</v>
      </c>
      <c r="E50" s="1" t="n">
        <v>46313</v>
      </c>
      <c r="F50" t="inlineStr">
        <is>
          <t>STOCKHOLMS LÄN</t>
        </is>
      </c>
      <c r="G50" t="inlineStr">
        <is>
          <t>HANINGE</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68896-2021</t>
        </is>
      </c>
      <c r="B51" t="inlineStr">
        <is>
          <t>avverkningsanmälan</t>
        </is>
      </c>
      <c r="C51" t="inlineStr">
        <is>
          <t>Föryngringsavverkning</t>
        </is>
      </c>
      <c r="D51" s="1" t="n">
        <v>44526</v>
      </c>
      <c r="E51" s="1" t="n">
        <v>46313</v>
      </c>
      <c r="F51" t="inlineStr">
        <is>
          <t>STOCKHOLMS LÄN</t>
        </is>
      </c>
      <c r="G51" t="inlineStr">
        <is>
          <t>HANINGE</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24800-2026</t>
        </is>
      </c>
      <c r="B52" t="inlineStr">
        <is>
          <t>avverkningsanmälan</t>
        </is>
      </c>
      <c r="C52" t="inlineStr">
        <is>
          <t>Föryngringsavverkning</t>
        </is>
      </c>
      <c r="D52" s="1" t="n">
        <v>46171</v>
      </c>
      <c r="E52" s="1" t="n">
        <v>46313</v>
      </c>
      <c r="F52" t="inlineStr">
        <is>
          <t>STOCKHOLMS LÄN</t>
        </is>
      </c>
      <c r="G52" t="inlineStr">
        <is>
          <t>HANINGE</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46313</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14900-2025</t>
        </is>
      </c>
      <c r="B54" t="inlineStr">
        <is>
          <t>avverkningsanmälan</t>
        </is>
      </c>
      <c r="C54" t="inlineStr">
        <is>
          <t>Föryngringsavverkning</t>
        </is>
      </c>
      <c r="D54" s="1" t="n">
        <v>45743</v>
      </c>
      <c r="E54" s="1" t="n">
        <v>46313</v>
      </c>
      <c r="F54" t="inlineStr">
        <is>
          <t>STOCKHOLMS LÄN</t>
        </is>
      </c>
      <c r="G54" t="inlineStr">
        <is>
          <t>HANINGE</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26417-2026</t>
        </is>
      </c>
      <c r="B55" t="inlineStr">
        <is>
          <t>avverkningsanmälan</t>
        </is>
      </c>
      <c r="C55" t="inlineStr">
        <is>
          <t>Föryngringsavverkning</t>
        </is>
      </c>
      <c r="D55" s="1" t="n">
        <v>46183</v>
      </c>
      <c r="E55" s="1" t="n">
        <v>46313</v>
      </c>
      <c r="F55" t="inlineStr">
        <is>
          <t>STOCKHOLMS LÄN</t>
        </is>
      </c>
      <c r="G55" t="inlineStr">
        <is>
          <t>HANINGE</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20527-2025</t>
        </is>
      </c>
      <c r="B56" t="inlineStr">
        <is>
          <t>avverkningsanmälan</t>
        </is>
      </c>
      <c r="C56" t="inlineStr">
        <is>
          <t>Föryngringsavverkning</t>
        </is>
      </c>
      <c r="D56" s="1" t="n">
        <v>45775</v>
      </c>
      <c r="E56" s="1" t="n">
        <v>46313</v>
      </c>
      <c r="F56" t="inlineStr">
        <is>
          <t>STOCKHOLMS LÄN</t>
        </is>
      </c>
      <c r="G56" t="inlineStr">
        <is>
          <t>HANINGE</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64568-2023</t>
        </is>
      </c>
      <c r="B57" t="inlineStr">
        <is>
          <t>avverkningsanmälan</t>
        </is>
      </c>
      <c r="C57" t="inlineStr">
        <is>
          <t>Föryngringsavverkning</t>
        </is>
      </c>
      <c r="D57" s="1" t="n">
        <v>45281</v>
      </c>
      <c r="E57" s="1" t="n">
        <v>46313</v>
      </c>
      <c r="F57" t="inlineStr">
        <is>
          <t>STOCKHOLMS LÄN</t>
        </is>
      </c>
      <c r="G57" t="inlineStr">
        <is>
          <t>HANINGE</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26886-2026</t>
        </is>
      </c>
      <c r="B58" t="inlineStr">
        <is>
          <t>avverkningsanmälan</t>
        </is>
      </c>
      <c r="C58" t="inlineStr">
        <is>
          <t>Avverkning för annat ändamål</t>
        </is>
      </c>
      <c r="D58" s="1" t="n">
        <v>46185</v>
      </c>
      <c r="E58" s="1" t="n">
        <v>46313</v>
      </c>
      <c r="F58" t="inlineStr">
        <is>
          <t>STOCKHOLMS LÄN</t>
        </is>
      </c>
      <c r="G58" t="inlineStr">
        <is>
          <t>HANINGE</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1180-2024</t>
        </is>
      </c>
      <c r="B59" t="inlineStr">
        <is>
          <t>avverkningsanmälan</t>
        </is>
      </c>
      <c r="C59" t="inlineStr">
        <is>
          <t>Föryngringsavverkning</t>
        </is>
      </c>
      <c r="D59" s="1" t="n">
        <v>45302</v>
      </c>
      <c r="E59" s="1" t="n">
        <v>46313</v>
      </c>
      <c r="F59" t="inlineStr">
        <is>
          <t>STOCKHOLMS LÄN</t>
        </is>
      </c>
      <c r="G59" t="inlineStr">
        <is>
          <t>HANINGE</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24873-2023</t>
        </is>
      </c>
      <c r="B60" t="inlineStr">
        <is>
          <t>avverkningsanmälan</t>
        </is>
      </c>
      <c r="C60" t="inlineStr">
        <is>
          <t>Föryngringsavverkning</t>
        </is>
      </c>
      <c r="D60" s="1" t="n">
        <v>45085</v>
      </c>
      <c r="E60" s="1" t="n">
        <v>46313</v>
      </c>
      <c r="F60" t="inlineStr">
        <is>
          <t>STOCKHOLMS LÄN</t>
        </is>
      </c>
      <c r="G60" t="inlineStr">
        <is>
          <t>HANINGE</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58599-2023</t>
        </is>
      </c>
      <c r="B61" t="inlineStr">
        <is>
          <t>avverkningsanmälan</t>
        </is>
      </c>
      <c r="C61" t="inlineStr">
        <is>
          <t>Föryngringsavverkning</t>
        </is>
      </c>
      <c r="D61" s="1" t="n">
        <v>45251</v>
      </c>
      <c r="E61" s="1" t="n">
        <v>46313</v>
      </c>
      <c r="F61" t="inlineStr">
        <is>
          <t>STOCKHOLMS LÄN</t>
        </is>
      </c>
      <c r="G61" t="inlineStr">
        <is>
          <t>HANINGE</t>
        </is>
      </c>
      <c r="I61" t="n">
        <v>3.2</v>
      </c>
      <c r="J61" t="n">
        <v>0</v>
      </c>
      <c r="K61" t="n">
        <v>0</v>
      </c>
      <c r="L61" t="n">
        <v>0</v>
      </c>
      <c r="M61" t="n">
        <v>0</v>
      </c>
      <c r="N61" t="n">
        <v>0</v>
      </c>
      <c r="O61" t="n">
        <v>0</v>
      </c>
      <c r="P61" t="n">
        <v>0</v>
      </c>
      <c r="Q61" t="n">
        <v>0</v>
      </c>
      <c r="R61" t="n">
        <v>0</v>
      </c>
      <c r="S61" t="n">
        <v>0</v>
      </c>
      <c r="T61" t="n">
        <v>0</v>
      </c>
      <c r="U61" t="n">
        <v>0</v>
      </c>
      <c r="V61" s="2" t="inlineStr"/>
    </row>
    <row r="62" ht="15" customHeight="1">
      <c r="A62" t="inlineStr">
        <is>
          <t>A 12787-2026</t>
        </is>
      </c>
      <c r="B62" t="inlineStr">
        <is>
          <t>avverkningsanmälan</t>
        </is>
      </c>
      <c r="C62" t="inlineStr">
        <is>
          <t>Föryngringsavverkning</t>
        </is>
      </c>
      <c r="D62" s="1" t="n">
        <v>46091</v>
      </c>
      <c r="E62" s="1" t="n">
        <v>46313</v>
      </c>
      <c r="F62" t="inlineStr">
        <is>
          <t>STOCKHOLMS LÄN</t>
        </is>
      </c>
      <c r="G62" t="inlineStr">
        <is>
          <t>HANINGE</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52836-2024</t>
        </is>
      </c>
      <c r="B63" t="inlineStr">
        <is>
          <t>avverkningsanmälan</t>
        </is>
      </c>
      <c r="C63" t="inlineStr">
        <is>
          <t>Föryngringsavverkning</t>
        </is>
      </c>
      <c r="D63" s="1" t="n">
        <v>45610</v>
      </c>
      <c r="E63" s="1" t="n">
        <v>46313</v>
      </c>
      <c r="F63" t="inlineStr">
        <is>
          <t>STOCKHOLMS LÄN</t>
        </is>
      </c>
      <c r="G63" t="inlineStr">
        <is>
          <t>HANINGE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8078-2024</t>
        </is>
      </c>
      <c r="B64" t="inlineStr">
        <is>
          <t>avverkningsanmälan</t>
        </is>
      </c>
      <c r="C64" t="inlineStr">
        <is>
          <t>Föryngringsavverkning</t>
        </is>
      </c>
      <c r="D64" s="1" t="n">
        <v>45351</v>
      </c>
      <c r="E64" s="1" t="n">
        <v>46313</v>
      </c>
      <c r="F64" t="inlineStr">
        <is>
          <t>STOCKHOLMS LÄN</t>
        </is>
      </c>
      <c r="G64" t="inlineStr">
        <is>
          <t>HANINGE</t>
        </is>
      </c>
      <c r="H64" t="inlineStr">
        <is>
          <t>Kommuner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19220-2023</t>
        </is>
      </c>
      <c r="B65" t="inlineStr">
        <is>
          <t>avverkningsanmälan</t>
        </is>
      </c>
      <c r="C65" t="inlineStr">
        <is>
          <t>Föryngringsavverkning</t>
        </is>
      </c>
      <c r="D65" s="1" t="n">
        <v>45048</v>
      </c>
      <c r="E65" s="1" t="n">
        <v>46313</v>
      </c>
      <c r="F65" t="inlineStr">
        <is>
          <t>STOCKHOLMS LÄN</t>
        </is>
      </c>
      <c r="G65" t="inlineStr">
        <is>
          <t>HANINGE</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25584-2023</t>
        </is>
      </c>
      <c r="B66" t="inlineStr">
        <is>
          <t>avverkningsanmälan</t>
        </is>
      </c>
      <c r="C66" t="inlineStr">
        <is>
          <t>Föryngringsavverkning</t>
        </is>
      </c>
      <c r="D66" s="1" t="n">
        <v>45089</v>
      </c>
      <c r="E66" s="1" t="n">
        <v>46313</v>
      </c>
      <c r="F66" t="inlineStr">
        <is>
          <t>STOCKHOLMS LÄN</t>
        </is>
      </c>
      <c r="G66" t="inlineStr">
        <is>
          <t>HANINGE</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3156-2025</t>
        </is>
      </c>
      <c r="B67" t="inlineStr">
        <is>
          <t>avverkningsanmälan</t>
        </is>
      </c>
      <c r="C67" t="inlineStr">
        <is>
          <t>Föryngringsavverkning</t>
        </is>
      </c>
      <c r="D67" s="1" t="n">
        <v>45679</v>
      </c>
      <c r="E67" s="1" t="n">
        <v>46313</v>
      </c>
      <c r="F67" t="inlineStr">
        <is>
          <t>STOCKHOLMS LÄN</t>
        </is>
      </c>
      <c r="G67" t="inlineStr">
        <is>
          <t>HANINGE</t>
        </is>
      </c>
      <c r="I67" t="n">
        <v>3.3</v>
      </c>
      <c r="J67" t="n">
        <v>0</v>
      </c>
      <c r="K67" t="n">
        <v>0</v>
      </c>
      <c r="L67" t="n">
        <v>0</v>
      </c>
      <c r="M67" t="n">
        <v>0</v>
      </c>
      <c r="N67" t="n">
        <v>0</v>
      </c>
      <c r="O67" t="n">
        <v>0</v>
      </c>
      <c r="P67" t="n">
        <v>0</v>
      </c>
      <c r="Q67" t="n">
        <v>0</v>
      </c>
      <c r="R67" t="n">
        <v>0</v>
      </c>
      <c r="S67" t="n">
        <v>0</v>
      </c>
      <c r="T67" t="n">
        <v>0</v>
      </c>
      <c r="U67" t="n">
        <v>0</v>
      </c>
      <c r="V67" s="2" t="inlineStr"/>
    </row>
    <row r="68" ht="15" customHeight="1">
      <c r="A68" t="inlineStr">
        <is>
          <t>A 17765-2024</t>
        </is>
      </c>
      <c r="B68" t="inlineStr">
        <is>
          <t>avverkningsanmälan</t>
        </is>
      </c>
      <c r="C68" t="inlineStr">
        <is>
          <t>Föryngringsavverkning</t>
        </is>
      </c>
      <c r="D68" s="1" t="n">
        <v>45418</v>
      </c>
      <c r="E68" s="1" t="n">
        <v>46313</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32486-2026</t>
        </is>
      </c>
      <c r="B69" t="inlineStr">
        <is>
          <t>avverkningsanmälan</t>
        </is>
      </c>
      <c r="C69" t="inlineStr">
        <is>
          <t>Föryngringsavverkning</t>
        </is>
      </c>
      <c r="D69" s="1" t="n">
        <v>46239</v>
      </c>
      <c r="E69" s="1" t="n">
        <v>46313</v>
      </c>
      <c r="F69" t="inlineStr">
        <is>
          <t>STOCKHOLMS LÄN</t>
        </is>
      </c>
      <c r="G69" t="inlineStr">
        <is>
          <t>HANINGE</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68894-2021</t>
        </is>
      </c>
      <c r="B70" t="inlineStr">
        <is>
          <t>avverkningsanmälan</t>
        </is>
      </c>
      <c r="C70" t="inlineStr">
        <is>
          <t>Föryngringsavverkning</t>
        </is>
      </c>
      <c r="D70" s="1" t="n">
        <v>44526</v>
      </c>
      <c r="E70" s="1" t="n">
        <v>46313</v>
      </c>
      <c r="F70" t="inlineStr">
        <is>
          <t>STOCKHOLMS LÄN</t>
        </is>
      </c>
      <c r="G70" t="inlineStr">
        <is>
          <t>HANINGE</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18491-2025</t>
        </is>
      </c>
      <c r="B71" t="inlineStr">
        <is>
          <t>avverkningsanmälan</t>
        </is>
      </c>
      <c r="C71" t="inlineStr">
        <is>
          <t>Föryngringsavverkning</t>
        </is>
      </c>
      <c r="D71" s="1" t="n">
        <v>45763</v>
      </c>
      <c r="E71" s="1" t="n">
        <v>46313</v>
      </c>
      <c r="F71" t="inlineStr">
        <is>
          <t>STOCKHOLMS LÄN</t>
        </is>
      </c>
      <c r="G71" t="inlineStr">
        <is>
          <t>HANINGE</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24193-2025</t>
        </is>
      </c>
      <c r="B72" t="inlineStr">
        <is>
          <t>avverkningsanmälan</t>
        </is>
      </c>
      <c r="C72" t="inlineStr">
        <is>
          <t>Föryngringsavverkning</t>
        </is>
      </c>
      <c r="D72" s="1" t="n">
        <v>45796</v>
      </c>
      <c r="E72" s="1" t="n">
        <v>46313</v>
      </c>
      <c r="F72" t="inlineStr">
        <is>
          <t>STOCKHOLMS LÄN</t>
        </is>
      </c>
      <c r="G72" t="inlineStr">
        <is>
          <t>HANINGE</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42392-2026</t>
        </is>
      </c>
      <c r="B73" t="inlineStr">
        <is>
          <t>avverkningsanmälan</t>
        </is>
      </c>
      <c r="C73" t="inlineStr">
        <is>
          <t>Föryngringsavverkning</t>
        </is>
      </c>
      <c r="D73" s="1" t="n">
        <v>46307</v>
      </c>
      <c r="E73" s="1" t="n">
        <v>46313</v>
      </c>
      <c r="F73" t="inlineStr">
        <is>
          <t>STOCKHOLMS LÄN</t>
        </is>
      </c>
      <c r="G73" t="inlineStr">
        <is>
          <t>HANINGE</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64075-2023</t>
        </is>
      </c>
      <c r="B74" t="inlineStr">
        <is>
          <t>avverkningsanmälan</t>
        </is>
      </c>
      <c r="C74" t="inlineStr">
        <is>
          <t>Föryngringsavverkning</t>
        </is>
      </c>
      <c r="D74" s="1" t="n">
        <v>45279</v>
      </c>
      <c r="E74" s="1" t="n">
        <v>46313</v>
      </c>
      <c r="F74" t="inlineStr">
        <is>
          <t>STOCKHOLMS LÄN</t>
        </is>
      </c>
      <c r="G74" t="inlineStr">
        <is>
          <t>HANINGE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27596-2025</t>
        </is>
      </c>
      <c r="B75" t="inlineStr">
        <is>
          <t>avverkningsanmälan</t>
        </is>
      </c>
      <c r="C75" t="inlineStr">
        <is>
          <t>Avverkning för att bevara och utveckla /försöksver</t>
        </is>
      </c>
      <c r="D75" s="1" t="n">
        <v>45813</v>
      </c>
      <c r="E75" s="1" t="n">
        <v>46313</v>
      </c>
      <c r="F75" t="inlineStr">
        <is>
          <t>STOCKHOLMS LÄN</t>
        </is>
      </c>
      <c r="G75" t="inlineStr">
        <is>
          <t>HANINGE</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42952-2026</t>
        </is>
      </c>
      <c r="B76" t="inlineStr">
        <is>
          <t>avverkningsanmälan</t>
        </is>
      </c>
      <c r="C76" t="inlineStr">
        <is>
          <t>Föryngringsavverkning</t>
        </is>
      </c>
      <c r="D76" s="1" t="n">
        <v>46310</v>
      </c>
      <c r="E76" s="1" t="n">
        <v>46313</v>
      </c>
      <c r="F76" t="inlineStr">
        <is>
          <t>STOCKHOLMS LÄN</t>
        </is>
      </c>
      <c r="G76" t="inlineStr">
        <is>
          <t>HANINGE</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42975-2026</t>
        </is>
      </c>
      <c r="B77" t="inlineStr">
        <is>
          <t>avverkningsanmälan</t>
        </is>
      </c>
      <c r="C77" t="inlineStr">
        <is>
          <t>Föryngringsavverkning</t>
        </is>
      </c>
      <c r="D77" s="1" t="n">
        <v>46310</v>
      </c>
      <c r="E77" s="1" t="n">
        <v>46313</v>
      </c>
      <c r="F77" t="inlineStr">
        <is>
          <t>STOCKHOLMS LÄN</t>
        </is>
      </c>
      <c r="G77" t="inlineStr">
        <is>
          <t>HANINGE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14264-2025</t>
        </is>
      </c>
      <c r="B78" t="inlineStr">
        <is>
          <t>avverkningsanmälan</t>
        </is>
      </c>
      <c r="C78" t="inlineStr">
        <is>
          <t>Föryngringsavverkning</t>
        </is>
      </c>
      <c r="D78" s="1" t="n">
        <v>45740</v>
      </c>
      <c r="E78" s="1" t="n">
        <v>46313</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46313</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2026-10-18T08:09:33Z</dcterms:created>
  <dcterms:modified xmlns:dcterms="http://purl.org/dc/terms/" xmlns:xsi="http://www.w3.org/2001/XMLSchema-instance" xsi:type="dcterms:W3CDTF">2026-10-18T08:09:33Z</dcterms:modified>
</cp:coreProperties>
</file>