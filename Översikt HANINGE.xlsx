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45900</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45900</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45900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45900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45900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45900</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45900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45900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45900</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45900</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45900</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45900</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45900</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45900</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45900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45900</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45900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45900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45900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45900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45900</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45900</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45900</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45900</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45900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45900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45900</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45900</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45900</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45900</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45900</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45900</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45900</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45900</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45900</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45900</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45900</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45900</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45900</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45900</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45900</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45900</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45900</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45900</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45900</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45900</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45900</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45900</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45900</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5474-2024</t>
        </is>
      </c>
      <c r="B51" s="1" t="n">
        <v>45333.51131944444</v>
      </c>
      <c r="C51" s="1" t="n">
        <v>45900</v>
      </c>
      <c r="D51" t="inlineStr">
        <is>
          <t>STOCKHOLMS LÄN</t>
        </is>
      </c>
      <c r="E51" t="inlineStr">
        <is>
          <t>HANINGE</t>
        </is>
      </c>
      <c r="F51" t="inlineStr">
        <is>
          <t>Kommuner</t>
        </is>
      </c>
      <c r="G51" t="n">
        <v>0.9</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45900</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20495-2025</t>
        </is>
      </c>
      <c r="B53" s="1" t="n">
        <v>45775.57335648148</v>
      </c>
      <c r="C53" s="1" t="n">
        <v>45900</v>
      </c>
      <c r="D53" t="inlineStr">
        <is>
          <t>STOCKHOLMS LÄN</t>
        </is>
      </c>
      <c r="E53" t="inlineStr">
        <is>
          <t>HANINGE</t>
        </is>
      </c>
      <c r="G53" t="n">
        <v>6.6</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45900</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45900</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45900</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45900</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1703-2023</t>
        </is>
      </c>
      <c r="B58" s="1" t="n">
        <v>44938.44412037037</v>
      </c>
      <c r="C58" s="1" t="n">
        <v>45900</v>
      </c>
      <c r="D58" t="inlineStr">
        <is>
          <t>STOCKHOLMS LÄN</t>
        </is>
      </c>
      <c r="E58" t="inlineStr">
        <is>
          <t>HANINGE</t>
        </is>
      </c>
      <c r="G58" t="n">
        <v>1.8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45900</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45900</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45900</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25584-2023</t>
        </is>
      </c>
      <c r="B62" s="1" t="n">
        <v>45089</v>
      </c>
      <c r="C62" s="1" t="n">
        <v>45900</v>
      </c>
      <c r="D62" t="inlineStr">
        <is>
          <t>STOCKHOLMS LÄN</t>
        </is>
      </c>
      <c r="E62" t="inlineStr">
        <is>
          <t>HANINGE</t>
        </is>
      </c>
      <c r="G62" t="n">
        <v>4.8</v>
      </c>
      <c r="H62" t="n">
        <v>0</v>
      </c>
      <c r="I62" t="n">
        <v>0</v>
      </c>
      <c r="J62" t="n">
        <v>0</v>
      </c>
      <c r="K62" t="n">
        <v>0</v>
      </c>
      <c r="L62" t="n">
        <v>0</v>
      </c>
      <c r="M62" t="n">
        <v>0</v>
      </c>
      <c r="N62" t="n">
        <v>0</v>
      </c>
      <c r="O62" t="n">
        <v>0</v>
      </c>
      <c r="P62" t="n">
        <v>0</v>
      </c>
      <c r="Q62" t="n">
        <v>0</v>
      </c>
      <c r="R62" s="2" t="inlineStr"/>
    </row>
    <row r="63" ht="15" customHeight="1">
      <c r="A63" t="inlineStr">
        <is>
          <t>A 24191-2025</t>
        </is>
      </c>
      <c r="B63" s="1" t="n">
        <v>45796.86738425926</v>
      </c>
      <c r="C63" s="1" t="n">
        <v>45900</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24193-2025</t>
        </is>
      </c>
      <c r="B64" s="1" t="n">
        <v>45796.89591435185</v>
      </c>
      <c r="C64" s="1" t="n">
        <v>45900</v>
      </c>
      <c r="D64" t="inlineStr">
        <is>
          <t>STOCKHOLMS LÄN</t>
        </is>
      </c>
      <c r="E64" t="inlineStr">
        <is>
          <t>HANINGE</t>
        </is>
      </c>
      <c r="G64" t="n">
        <v>0.4</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45900</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8163-2024</t>
        </is>
      </c>
      <c r="B66" s="1" t="n">
        <v>45351.60337962963</v>
      </c>
      <c r="C66" s="1" t="n">
        <v>45900</v>
      </c>
      <c r="D66" t="inlineStr">
        <is>
          <t>STOCKHOLMS LÄN</t>
        </is>
      </c>
      <c r="E66" t="inlineStr">
        <is>
          <t>HANINGE</t>
        </is>
      </c>
      <c r="F66" t="inlineStr">
        <is>
          <t>Kommuner</t>
        </is>
      </c>
      <c r="G66" t="n">
        <v>3.8</v>
      </c>
      <c r="H66" t="n">
        <v>0</v>
      </c>
      <c r="I66" t="n">
        <v>0</v>
      </c>
      <c r="J66" t="n">
        <v>0</v>
      </c>
      <c r="K66" t="n">
        <v>0</v>
      </c>
      <c r="L66" t="n">
        <v>0</v>
      </c>
      <c r="M66" t="n">
        <v>0</v>
      </c>
      <c r="N66" t="n">
        <v>0</v>
      </c>
      <c r="O66" t="n">
        <v>0</v>
      </c>
      <c r="P66" t="n">
        <v>0</v>
      </c>
      <c r="Q66" t="n">
        <v>0</v>
      </c>
      <c r="R66" s="2" t="inlineStr"/>
    </row>
    <row r="67" ht="15" customHeight="1">
      <c r="A67" t="inlineStr">
        <is>
          <t>A 7328-2025</t>
        </is>
      </c>
      <c r="B67" s="1" t="n">
        <v>45703.29252314815</v>
      </c>
      <c r="C67" s="1" t="n">
        <v>45900</v>
      </c>
      <c r="D67" t="inlineStr">
        <is>
          <t>STOCKHOLMS LÄN</t>
        </is>
      </c>
      <c r="E67" t="inlineStr">
        <is>
          <t>HANINGE</t>
        </is>
      </c>
      <c r="G67" t="n">
        <v>2.5</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45900</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6648-2023</t>
        </is>
      </c>
      <c r="B69" s="1" t="n">
        <v>44966</v>
      </c>
      <c r="C69" s="1" t="n">
        <v>45900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20527-2025</t>
        </is>
      </c>
      <c r="B70" s="1" t="n">
        <v>45775.60663194444</v>
      </c>
      <c r="C70" s="1" t="n">
        <v>45900</v>
      </c>
      <c r="D70" t="inlineStr">
        <is>
          <t>STOCKHOLMS LÄN</t>
        </is>
      </c>
      <c r="E70" t="inlineStr">
        <is>
          <t>HANINGE</t>
        </is>
      </c>
      <c r="G70" t="n">
        <v>2.1</v>
      </c>
      <c r="H70" t="n">
        <v>0</v>
      </c>
      <c r="I70" t="n">
        <v>0</v>
      </c>
      <c r="J70" t="n">
        <v>0</v>
      </c>
      <c r="K70" t="n">
        <v>0</v>
      </c>
      <c r="L70" t="n">
        <v>0</v>
      </c>
      <c r="M70" t="n">
        <v>0</v>
      </c>
      <c r="N70" t="n">
        <v>0</v>
      </c>
      <c r="O70" t="n">
        <v>0</v>
      </c>
      <c r="P70" t="n">
        <v>0</v>
      </c>
      <c r="Q70" t="n">
        <v>0</v>
      </c>
      <c r="R70" s="2" t="inlineStr"/>
    </row>
    <row r="71" ht="15" customHeight="1">
      <c r="A71" t="inlineStr">
        <is>
          <t>A 58599-2023</t>
        </is>
      </c>
      <c r="B71" s="1" t="n">
        <v>45251.47721064815</v>
      </c>
      <c r="C71" s="1" t="n">
        <v>45900</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64548-2020</t>
        </is>
      </c>
      <c r="B72" s="1" t="n">
        <v>44166</v>
      </c>
      <c r="C72" s="1" t="n">
        <v>45900</v>
      </c>
      <c r="D72" t="inlineStr">
        <is>
          <t>STOCKHOLMS LÄN</t>
        </is>
      </c>
      <c r="E72" t="inlineStr">
        <is>
          <t>HANINGE</t>
        </is>
      </c>
      <c r="G72" t="n">
        <v>7.2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45900</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1187-2024</t>
        </is>
      </c>
      <c r="B74" s="1" t="n">
        <v>45302.58045138889</v>
      </c>
      <c r="C74" s="1" t="n">
        <v>45900</v>
      </c>
      <c r="D74" t="inlineStr">
        <is>
          <t>STOCKHOLMS LÄN</t>
        </is>
      </c>
      <c r="E74" t="inlineStr">
        <is>
          <t>HANINGE</t>
        </is>
      </c>
      <c r="G74" t="n">
        <v>1.5</v>
      </c>
      <c r="H74" t="n">
        <v>0</v>
      </c>
      <c r="I74" t="n">
        <v>0</v>
      </c>
      <c r="J74" t="n">
        <v>0</v>
      </c>
      <c r="K74" t="n">
        <v>0</v>
      </c>
      <c r="L74" t="n">
        <v>0</v>
      </c>
      <c r="M74" t="n">
        <v>0</v>
      </c>
      <c r="N74" t="n">
        <v>0</v>
      </c>
      <c r="O74" t="n">
        <v>0</v>
      </c>
      <c r="P74" t="n">
        <v>0</v>
      </c>
      <c r="Q74" t="n">
        <v>0</v>
      </c>
      <c r="R74" s="2" t="inlineStr"/>
    </row>
    <row r="75" ht="15" customHeight="1">
      <c r="A75" t="inlineStr">
        <is>
          <t>A 32952-2025</t>
        </is>
      </c>
      <c r="B75" s="1" t="n">
        <v>45839.69278935185</v>
      </c>
      <c r="C75" s="1" t="n">
        <v>45900</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32954-2025</t>
        </is>
      </c>
      <c r="B76" s="1" t="n">
        <v>45839.70034722222</v>
      </c>
      <c r="C76" s="1" t="n">
        <v>45900</v>
      </c>
      <c r="D76" t="inlineStr">
        <is>
          <t>STOCKHOLMS LÄN</t>
        </is>
      </c>
      <c r="E76" t="inlineStr">
        <is>
          <t>HANINGE</t>
        </is>
      </c>
      <c r="G76" t="n">
        <v>1.6</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45900</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1184-2024</t>
        </is>
      </c>
      <c r="B78" s="1" t="n">
        <v>45302.57663194444</v>
      </c>
      <c r="C78" s="1" t="n">
        <v>45900</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45900</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45900</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45900</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32948-2025</t>
        </is>
      </c>
      <c r="B82" s="1" t="n">
        <v>45839</v>
      </c>
      <c r="C82" s="1" t="n">
        <v>45900</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45900</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45900</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38595-2021</t>
        </is>
      </c>
      <c r="B85" s="1" t="n">
        <v>44407</v>
      </c>
      <c r="C85" s="1" t="n">
        <v>45900</v>
      </c>
      <c r="D85" t="inlineStr">
        <is>
          <t>STOCKHOLMS LÄN</t>
        </is>
      </c>
      <c r="E85" t="inlineStr">
        <is>
          <t>HANINGE</t>
        </is>
      </c>
      <c r="G85" t="n">
        <v>1.1</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45900</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50306-2023</t>
        </is>
      </c>
      <c r="B87" s="1" t="n">
        <v>45209</v>
      </c>
      <c r="C87" s="1" t="n">
        <v>45900</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c r="U87">
        <f>HYPERLINK("https://klasma.github.io/Logging_0136/knärot/A 50306-2023 karta knärot.png", "A 50306-2023")</f>
        <v/>
      </c>
      <c r="V87">
        <f>HYPERLINK("https://klasma.github.io/Logging_0136/klagomål/A 50306-2023 FSC-klagomål.docx", "A 50306-2023")</f>
        <v/>
      </c>
      <c r="W87">
        <f>HYPERLINK("https://klasma.github.io/Logging_0136/klagomålsmail/A 50306-2023 FSC-klagomål mail.docx", "A 50306-2023")</f>
        <v/>
      </c>
      <c r="X87">
        <f>HYPERLINK("https://klasma.github.io/Logging_0136/tillsyn/A 50306-2023 tillsynsbegäran.docx", "A 50306-2023")</f>
        <v/>
      </c>
      <c r="Y87">
        <f>HYPERLINK("https://klasma.github.io/Logging_0136/tillsynsmail/A 50306-2023 tillsynsbegäran mail.docx", "A 50306-2023")</f>
        <v/>
      </c>
    </row>
    <row r="88" ht="15" customHeight="1">
      <c r="A88" t="inlineStr">
        <is>
          <t>A 22288-2023</t>
        </is>
      </c>
      <c r="B88" s="1" t="n">
        <v>45070</v>
      </c>
      <c r="C88" s="1" t="n">
        <v>45900</v>
      </c>
      <c r="D88" t="inlineStr">
        <is>
          <t>STOCKHOLMS LÄN</t>
        </is>
      </c>
      <c r="E88" t="inlineStr">
        <is>
          <t>HANINGE</t>
        </is>
      </c>
      <c r="G88" t="n">
        <v>2.8</v>
      </c>
      <c r="H88" t="n">
        <v>0</v>
      </c>
      <c r="I88" t="n">
        <v>0</v>
      </c>
      <c r="J88" t="n">
        <v>0</v>
      </c>
      <c r="K88" t="n">
        <v>0</v>
      </c>
      <c r="L88" t="n">
        <v>0</v>
      </c>
      <c r="M88" t="n">
        <v>0</v>
      </c>
      <c r="N88" t="n">
        <v>0</v>
      </c>
      <c r="O88" t="n">
        <v>0</v>
      </c>
      <c r="P88" t="n">
        <v>0</v>
      </c>
      <c r="Q88" t="n">
        <v>0</v>
      </c>
      <c r="R88" s="2" t="inlineStr"/>
    </row>
    <row r="89" ht="15" customHeight="1">
      <c r="A89" t="inlineStr">
        <is>
          <t>A 68894-2021</t>
        </is>
      </c>
      <c r="B89" s="1" t="n">
        <v>44526</v>
      </c>
      <c r="C89" s="1" t="n">
        <v>45900</v>
      </c>
      <c r="D89" t="inlineStr">
        <is>
          <t>STOCKHOLMS LÄN</t>
        </is>
      </c>
      <c r="E89" t="inlineStr">
        <is>
          <t>HANINGE</t>
        </is>
      </c>
      <c r="G89" t="n">
        <v>1.2</v>
      </c>
      <c r="H89" t="n">
        <v>0</v>
      </c>
      <c r="I89" t="n">
        <v>0</v>
      </c>
      <c r="J89" t="n">
        <v>0</v>
      </c>
      <c r="K89" t="n">
        <v>0</v>
      </c>
      <c r="L89" t="n">
        <v>0</v>
      </c>
      <c r="M89" t="n">
        <v>0</v>
      </c>
      <c r="N89" t="n">
        <v>0</v>
      </c>
      <c r="O89" t="n">
        <v>0</v>
      </c>
      <c r="P89" t="n">
        <v>0</v>
      </c>
      <c r="Q89" t="n">
        <v>0</v>
      </c>
      <c r="R89" s="2" t="inlineStr"/>
    </row>
    <row r="90" ht="15" customHeight="1">
      <c r="A90" t="inlineStr">
        <is>
          <t>A 33792-2023</t>
        </is>
      </c>
      <c r="B90" s="1" t="n">
        <v>45121</v>
      </c>
      <c r="C90" s="1" t="n">
        <v>45900</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20839-2024</t>
        </is>
      </c>
      <c r="B91" s="1" t="n">
        <v>45439.39953703704</v>
      </c>
      <c r="C91" s="1" t="n">
        <v>45900</v>
      </c>
      <c r="D91" t="inlineStr">
        <is>
          <t>STOCKHOLMS LÄN</t>
        </is>
      </c>
      <c r="E91" t="inlineStr">
        <is>
          <t>HANINGE</t>
        </is>
      </c>
      <c r="G91" t="n">
        <v>8.4</v>
      </c>
      <c r="H91" t="n">
        <v>0</v>
      </c>
      <c r="I91" t="n">
        <v>0</v>
      </c>
      <c r="J91" t="n">
        <v>0</v>
      </c>
      <c r="K91" t="n">
        <v>0</v>
      </c>
      <c r="L91" t="n">
        <v>0</v>
      </c>
      <c r="M91" t="n">
        <v>0</v>
      </c>
      <c r="N91" t="n">
        <v>0</v>
      </c>
      <c r="O91" t="n">
        <v>0</v>
      </c>
      <c r="P91" t="n">
        <v>0</v>
      </c>
      <c r="Q91" t="n">
        <v>0</v>
      </c>
      <c r="R91" s="2" t="inlineStr"/>
    </row>
    <row r="92" ht="15" customHeight="1">
      <c r="A92" t="inlineStr">
        <is>
          <t>A 14258-2025</t>
        </is>
      </c>
      <c r="B92" s="1" t="n">
        <v>45740.62357638889</v>
      </c>
      <c r="C92" s="1" t="n">
        <v>45900</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45900</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13046-2022</t>
        </is>
      </c>
      <c r="B94" s="1" t="n">
        <v>44643</v>
      </c>
      <c r="C94" s="1" t="n">
        <v>45900</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8078-2024</t>
        </is>
      </c>
      <c r="B95" s="1" t="n">
        <v>45351.43737268518</v>
      </c>
      <c r="C95" s="1" t="n">
        <v>45900</v>
      </c>
      <c r="D95" t="inlineStr">
        <is>
          <t>STOCKHOLMS LÄN</t>
        </is>
      </c>
      <c r="E95" t="inlineStr">
        <is>
          <t>HANINGE</t>
        </is>
      </c>
      <c r="F95" t="inlineStr">
        <is>
          <t>Kommuner</t>
        </is>
      </c>
      <c r="G95" t="n">
        <v>1.4</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45900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52773-2024</t>
        </is>
      </c>
      <c r="B97" s="1" t="n">
        <v>45610.53207175926</v>
      </c>
      <c r="C97" s="1" t="n">
        <v>45900</v>
      </c>
      <c r="D97" t="inlineStr">
        <is>
          <t>STOCKHOLMS LÄN</t>
        </is>
      </c>
      <c r="E97" t="inlineStr">
        <is>
          <t>HANINGE</t>
        </is>
      </c>
      <c r="G97" t="n">
        <v>0.7</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45900</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9946-2024</t>
        </is>
      </c>
      <c r="B99" s="1" t="n">
        <v>45363.59789351852</v>
      </c>
      <c r="C99" s="1" t="n">
        <v>45900</v>
      </c>
      <c r="D99" t="inlineStr">
        <is>
          <t>STOCKHOLMS LÄN</t>
        </is>
      </c>
      <c r="E99" t="inlineStr">
        <is>
          <t>HANINGE</t>
        </is>
      </c>
      <c r="G99" t="n">
        <v>3.8</v>
      </c>
      <c r="H99" t="n">
        <v>0</v>
      </c>
      <c r="I99" t="n">
        <v>0</v>
      </c>
      <c r="J99" t="n">
        <v>0</v>
      </c>
      <c r="K99" t="n">
        <v>0</v>
      </c>
      <c r="L99" t="n">
        <v>0</v>
      </c>
      <c r="M99" t="n">
        <v>0</v>
      </c>
      <c r="N99" t="n">
        <v>0</v>
      </c>
      <c r="O99" t="n">
        <v>0</v>
      </c>
      <c r="P99" t="n">
        <v>0</v>
      </c>
      <c r="Q99" t="n">
        <v>0</v>
      </c>
      <c r="R99" s="2" t="inlineStr"/>
    </row>
    <row r="100" ht="15" customHeight="1">
      <c r="A100" t="inlineStr">
        <is>
          <t>A 17023-2022</t>
        </is>
      </c>
      <c r="B100" s="1" t="n">
        <v>44676</v>
      </c>
      <c r="C100" s="1" t="n">
        <v>45900</v>
      </c>
      <c r="D100" t="inlineStr">
        <is>
          <t>STOCKHOLMS LÄN</t>
        </is>
      </c>
      <c r="E100" t="inlineStr">
        <is>
          <t>HANINGE</t>
        </is>
      </c>
      <c r="F100" t="inlineStr">
        <is>
          <t>Övriga statliga verk och myndigheter</t>
        </is>
      </c>
      <c r="G100" t="n">
        <v>11.4</v>
      </c>
      <c r="H100" t="n">
        <v>0</v>
      </c>
      <c r="I100" t="n">
        <v>0</v>
      </c>
      <c r="J100" t="n">
        <v>0</v>
      </c>
      <c r="K100" t="n">
        <v>0</v>
      </c>
      <c r="L100" t="n">
        <v>0</v>
      </c>
      <c r="M100" t="n">
        <v>0</v>
      </c>
      <c r="N100" t="n">
        <v>0</v>
      </c>
      <c r="O100" t="n">
        <v>0</v>
      </c>
      <c r="P100" t="n">
        <v>0</v>
      </c>
      <c r="Q100" t="n">
        <v>0</v>
      </c>
      <c r="R100" s="2" t="inlineStr"/>
    </row>
    <row r="101" ht="15" customHeight="1">
      <c r="A101" t="inlineStr">
        <is>
          <t>A 52770-2024</t>
        </is>
      </c>
      <c r="B101" s="1" t="n">
        <v>45610.52414351852</v>
      </c>
      <c r="C101" s="1" t="n">
        <v>45900</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45900</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2025-08-31T08:28:25Z</dcterms:created>
  <dcterms:modified xmlns:dcterms="http://purl.org/dc/terms/" xmlns:xsi="http://www.w3.org/2001/XMLSchema-instance" xsi:type="dcterms:W3CDTF">2025-08-31T08:28:25Z</dcterms:modified>
</cp:coreProperties>
</file>