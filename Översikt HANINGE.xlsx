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46161</v>
      </c>
      <c r="D2" t="inlineStr">
        <is>
          <t>STOCKHOLMS LÄN</t>
        </is>
      </c>
      <c r="E2" t="inlineStr">
        <is>
          <t>HANINGE</t>
        </is>
      </c>
      <c r="G2" t="n">
        <v>10.3</v>
      </c>
      <c r="H2" t="n">
        <v>17</v>
      </c>
      <c r="I2" t="n">
        <v>27</v>
      </c>
      <c r="J2" t="n">
        <v>14</v>
      </c>
      <c r="K2" t="n">
        <v>2</v>
      </c>
      <c r="L2" t="n">
        <v>2</v>
      </c>
      <c r="M2" t="n">
        <v>1</v>
      </c>
      <c r="N2" t="n">
        <v>0</v>
      </c>
      <c r="O2" t="n">
        <v>19</v>
      </c>
      <c r="P2" t="n">
        <v>5</v>
      </c>
      <c r="Q2" t="n">
        <v>54</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Vattenfladdermus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46161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46161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46161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46161</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46161</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17454-2026</t>
        </is>
      </c>
      <c r="B8" s="1" t="n">
        <v>46120.46743055555</v>
      </c>
      <c r="C8" s="1" t="n">
        <v>46161</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46161</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46161</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46161</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46161</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46161</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46161</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46161</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24189-2025</t>
        </is>
      </c>
      <c r="B16" s="1" t="n">
        <v>45796.84584490741</v>
      </c>
      <c r="C16" s="1" t="n">
        <v>46161</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46161</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14729-2023</t>
        </is>
      </c>
      <c r="B18" s="1" t="n">
        <v>45014</v>
      </c>
      <c r="C18" s="1" t="n">
        <v>46161</v>
      </c>
      <c r="D18" t="inlineStr">
        <is>
          <t>STOCKHOLMS LÄN</t>
        </is>
      </c>
      <c r="E18" t="inlineStr">
        <is>
          <t>HANINGE</t>
        </is>
      </c>
      <c r="G18" t="n">
        <v>0.2</v>
      </c>
      <c r="H18" t="n">
        <v>0</v>
      </c>
      <c r="I18" t="n">
        <v>1</v>
      </c>
      <c r="J18" t="n">
        <v>1</v>
      </c>
      <c r="K18" t="n">
        <v>0</v>
      </c>
      <c r="L18" t="n">
        <v>0</v>
      </c>
      <c r="M18" t="n">
        <v>0</v>
      </c>
      <c r="N18" t="n">
        <v>0</v>
      </c>
      <c r="O18" t="n">
        <v>1</v>
      </c>
      <c r="P18" t="n">
        <v>0</v>
      </c>
      <c r="Q18" t="n">
        <v>2</v>
      </c>
      <c r="R18" s="2" t="inlineStr">
        <is>
          <t>Ullticka
Mindre märgborre</t>
        </is>
      </c>
      <c r="S18">
        <f>HYPERLINK("https://klasma.github.io/Logging_0136/artfynd/A 14729-2023 artfynd.xlsx", "A 14729-2023")</f>
        <v/>
      </c>
      <c r="T18">
        <f>HYPERLINK("https://klasma.github.io/Logging_0136/kartor/A 14729-2023 karta.png", "A 14729-2023")</f>
        <v/>
      </c>
      <c r="V18">
        <f>HYPERLINK("https://klasma.github.io/Logging_0136/klagomål/A 14729-2023 FSC-klagomål.docx", "A 14729-2023")</f>
        <v/>
      </c>
      <c r="W18">
        <f>HYPERLINK("https://klasma.github.io/Logging_0136/klagomålsmail/A 14729-2023 FSC-klagomål mail.docx", "A 14729-2023")</f>
        <v/>
      </c>
      <c r="X18">
        <f>HYPERLINK("https://klasma.github.io/Logging_0136/tillsyn/A 14729-2023 tillsynsbegäran.docx", "A 14729-2023")</f>
        <v/>
      </c>
      <c r="Y18">
        <f>HYPERLINK("https://klasma.github.io/Logging_0136/tillsynsmail/A 14729-2023 tillsynsbegäran mail.docx", "A 14729-2023")</f>
        <v/>
      </c>
    </row>
    <row r="19" ht="15" customHeight="1">
      <c r="A19" t="inlineStr">
        <is>
          <t>A 39636-2022</t>
        </is>
      </c>
      <c r="B19" s="1" t="n">
        <v>44818</v>
      </c>
      <c r="C19" s="1" t="n">
        <v>46161</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46161</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46161</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46161</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46161</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46161</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46161</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46161</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46161</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46161</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46161</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46161</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46161</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46161</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46161</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46161</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46161</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46161</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46161</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46161</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46161</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46161</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46161</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46161</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46161</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46161</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48606-2025</t>
        </is>
      </c>
      <c r="B45" s="1" t="n">
        <v>45936.47019675926</v>
      </c>
      <c r="C45" s="1" t="n">
        <v>46161</v>
      </c>
      <c r="D45" t="inlineStr">
        <is>
          <t>STOCKHOLMS LÄN</t>
        </is>
      </c>
      <c r="E45" t="inlineStr">
        <is>
          <t>HANINGE</t>
        </is>
      </c>
      <c r="G45" t="n">
        <v>6.9</v>
      </c>
      <c r="H45" t="n">
        <v>0</v>
      </c>
      <c r="I45" t="n">
        <v>0</v>
      </c>
      <c r="J45" t="n">
        <v>0</v>
      </c>
      <c r="K45" t="n">
        <v>0</v>
      </c>
      <c r="L45" t="n">
        <v>0</v>
      </c>
      <c r="M45" t="n">
        <v>0</v>
      </c>
      <c r="N45" t="n">
        <v>0</v>
      </c>
      <c r="O45" t="n">
        <v>0</v>
      </c>
      <c r="P45" t="n">
        <v>0</v>
      </c>
      <c r="Q45" t="n">
        <v>0</v>
      </c>
      <c r="R45" s="2" t="inlineStr"/>
    </row>
    <row r="46" ht="15" customHeight="1">
      <c r="A46" t="inlineStr">
        <is>
          <t>A 21231-2025</t>
        </is>
      </c>
      <c r="B46" s="1" t="n">
        <v>45779.54644675926</v>
      </c>
      <c r="C46" s="1" t="n">
        <v>46161</v>
      </c>
      <c r="D46" t="inlineStr">
        <is>
          <t>STOCKHOLMS LÄN</t>
        </is>
      </c>
      <c r="E46" t="inlineStr">
        <is>
          <t>HANINGE</t>
        </is>
      </c>
      <c r="G46" t="n">
        <v>4.3</v>
      </c>
      <c r="H46" t="n">
        <v>0</v>
      </c>
      <c r="I46" t="n">
        <v>0</v>
      </c>
      <c r="J46" t="n">
        <v>0</v>
      </c>
      <c r="K46" t="n">
        <v>0</v>
      </c>
      <c r="L46" t="n">
        <v>0</v>
      </c>
      <c r="M46" t="n">
        <v>0</v>
      </c>
      <c r="N46" t="n">
        <v>0</v>
      </c>
      <c r="O46" t="n">
        <v>0</v>
      </c>
      <c r="P46" t="n">
        <v>0</v>
      </c>
      <c r="Q46" t="n">
        <v>0</v>
      </c>
      <c r="R46" s="2" t="inlineStr"/>
    </row>
    <row r="47" ht="15" customHeight="1">
      <c r="A47" t="inlineStr">
        <is>
          <t>A 8163-2024</t>
        </is>
      </c>
      <c r="B47" s="1" t="n">
        <v>45351.60337962963</v>
      </c>
      <c r="C47" s="1" t="n">
        <v>46161</v>
      </c>
      <c r="D47" t="inlineStr">
        <is>
          <t>STOCKHOLMS LÄN</t>
        </is>
      </c>
      <c r="E47" t="inlineStr">
        <is>
          <t>HANINGE</t>
        </is>
      </c>
      <c r="F47" t="inlineStr">
        <is>
          <t>Kommuner</t>
        </is>
      </c>
      <c r="G47" t="n">
        <v>3.8</v>
      </c>
      <c r="H47" t="n">
        <v>0</v>
      </c>
      <c r="I47" t="n">
        <v>0</v>
      </c>
      <c r="J47" t="n">
        <v>0</v>
      </c>
      <c r="K47" t="n">
        <v>0</v>
      </c>
      <c r="L47" t="n">
        <v>0</v>
      </c>
      <c r="M47" t="n">
        <v>0</v>
      </c>
      <c r="N47" t="n">
        <v>0</v>
      </c>
      <c r="O47" t="n">
        <v>0</v>
      </c>
      <c r="P47" t="n">
        <v>0</v>
      </c>
      <c r="Q47" t="n">
        <v>0</v>
      </c>
      <c r="R47" s="2" t="inlineStr"/>
    </row>
    <row r="48" ht="15" customHeight="1">
      <c r="A48" t="inlineStr">
        <is>
          <t>A 41809-2021</t>
        </is>
      </c>
      <c r="B48" s="1" t="n">
        <v>44425</v>
      </c>
      <c r="C48" s="1" t="n">
        <v>46161</v>
      </c>
      <c r="D48" t="inlineStr">
        <is>
          <t>STOCKHOLMS LÄN</t>
        </is>
      </c>
      <c r="E48" t="inlineStr">
        <is>
          <t>HANINGE</t>
        </is>
      </c>
      <c r="G48" t="n">
        <v>0.9</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46161</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46161</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24115-2025</t>
        </is>
      </c>
      <c r="B51" s="1" t="n">
        <v>45796.61494212963</v>
      </c>
      <c r="C51" s="1" t="n">
        <v>46161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46161</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13046-2022</t>
        </is>
      </c>
      <c r="B53" s="1" t="n">
        <v>44643</v>
      </c>
      <c r="C53" s="1" t="n">
        <v>46161</v>
      </c>
      <c r="D53" t="inlineStr">
        <is>
          <t>STOCKHOLMS LÄN</t>
        </is>
      </c>
      <c r="E53" t="inlineStr">
        <is>
          <t>HANINGE</t>
        </is>
      </c>
      <c r="G53" t="n">
        <v>2.3</v>
      </c>
      <c r="H53" t="n">
        <v>0</v>
      </c>
      <c r="I53" t="n">
        <v>0</v>
      </c>
      <c r="J53" t="n">
        <v>0</v>
      </c>
      <c r="K53" t="n">
        <v>0</v>
      </c>
      <c r="L53" t="n">
        <v>0</v>
      </c>
      <c r="M53" t="n">
        <v>0</v>
      </c>
      <c r="N53" t="n">
        <v>0</v>
      </c>
      <c r="O53" t="n">
        <v>0</v>
      </c>
      <c r="P53" t="n">
        <v>0</v>
      </c>
      <c r="Q53" t="n">
        <v>0</v>
      </c>
      <c r="R53" s="2" t="inlineStr"/>
    </row>
    <row r="54" ht="15" customHeight="1">
      <c r="A54" t="inlineStr">
        <is>
          <t>A 50306-2023</t>
        </is>
      </c>
      <c r="B54" s="1" t="n">
        <v>45209</v>
      </c>
      <c r="C54" s="1" t="n">
        <v>46161</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c r="U54">
        <f>HYPERLINK("https://klasma.github.io/Logging_0136/knärot/A 50306-2023 karta knärot.png", "A 50306-2023")</f>
        <v/>
      </c>
      <c r="V54">
        <f>HYPERLINK("https://klasma.github.io/Logging_0136/klagomål/A 50306-2023 FSC-klagomål.docx", "A 50306-2023")</f>
        <v/>
      </c>
      <c r="W54">
        <f>HYPERLINK("https://klasma.github.io/Logging_0136/klagomålsmail/A 50306-2023 FSC-klagomål mail.docx", "A 50306-2023")</f>
        <v/>
      </c>
      <c r="X54">
        <f>HYPERLINK("https://klasma.github.io/Logging_0136/tillsyn/A 50306-2023 tillsynsbegäran.docx", "A 50306-2023")</f>
        <v/>
      </c>
      <c r="Y54">
        <f>HYPERLINK("https://klasma.github.io/Logging_0136/tillsynsmail/A 50306-2023 tillsynsbegäran mail.docx", "A 50306-2023")</f>
        <v/>
      </c>
    </row>
    <row r="55" ht="15" customHeight="1">
      <c r="A55" t="inlineStr">
        <is>
          <t>A 27596-2025</t>
        </is>
      </c>
      <c r="B55" s="1" t="n">
        <v>45813.52303240741</v>
      </c>
      <c r="C55" s="1" t="n">
        <v>46161</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22288-2023</t>
        </is>
      </c>
      <c r="B56" s="1" t="n">
        <v>45070</v>
      </c>
      <c r="C56" s="1" t="n">
        <v>46161</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38595-2021</t>
        </is>
      </c>
      <c r="B57" s="1" t="n">
        <v>44407</v>
      </c>
      <c r="C57" s="1" t="n">
        <v>46161</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46161</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46161</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18512-2024</t>
        </is>
      </c>
      <c r="B60" s="1" t="n">
        <v>45425.59938657407</v>
      </c>
      <c r="C60" s="1" t="n">
        <v>46161</v>
      </c>
      <c r="D60" t="inlineStr">
        <is>
          <t>STOCKHOLMS LÄN</t>
        </is>
      </c>
      <c r="E60" t="inlineStr">
        <is>
          <t>HANINGE</t>
        </is>
      </c>
      <c r="F60" t="inlineStr">
        <is>
          <t>Kommuner</t>
        </is>
      </c>
      <c r="G60" t="n">
        <v>0.7</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46161</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1184-2024</t>
        </is>
      </c>
      <c r="B62" s="1" t="n">
        <v>45302.57663194444</v>
      </c>
      <c r="C62" s="1" t="n">
        <v>46161</v>
      </c>
      <c r="D62" t="inlineStr">
        <is>
          <t>STOCKHOLMS LÄN</t>
        </is>
      </c>
      <c r="E62" t="inlineStr">
        <is>
          <t>HANINGE</t>
        </is>
      </c>
      <c r="G62" t="n">
        <v>3.6</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46161</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17020-2022</t>
        </is>
      </c>
      <c r="B64" s="1" t="n">
        <v>44676</v>
      </c>
      <c r="C64" s="1" t="n">
        <v>46161</v>
      </c>
      <c r="D64" t="inlineStr">
        <is>
          <t>STOCKHOLMS LÄN</t>
        </is>
      </c>
      <c r="E64" t="inlineStr">
        <is>
          <t>HANINGE</t>
        </is>
      </c>
      <c r="F64" t="inlineStr">
        <is>
          <t>Övriga statliga verk och myndigheter</t>
        </is>
      </c>
      <c r="G64" t="n">
        <v>12.4</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46161</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38880-2025</t>
        </is>
      </c>
      <c r="B66" s="1" t="n">
        <v>45887.57966435186</v>
      </c>
      <c r="C66" s="1" t="n">
        <v>46161</v>
      </c>
      <c r="D66" t="inlineStr">
        <is>
          <t>STOCKHOLMS LÄN</t>
        </is>
      </c>
      <c r="E66" t="inlineStr">
        <is>
          <t>HANINGE</t>
        </is>
      </c>
      <c r="G66" t="n">
        <v>3.2</v>
      </c>
      <c r="H66" t="n">
        <v>0</v>
      </c>
      <c r="I66" t="n">
        <v>0</v>
      </c>
      <c r="J66" t="n">
        <v>0</v>
      </c>
      <c r="K66" t="n">
        <v>0</v>
      </c>
      <c r="L66" t="n">
        <v>0</v>
      </c>
      <c r="M66" t="n">
        <v>0</v>
      </c>
      <c r="N66" t="n">
        <v>0</v>
      </c>
      <c r="O66" t="n">
        <v>0</v>
      </c>
      <c r="P66" t="n">
        <v>0</v>
      </c>
      <c r="Q66" t="n">
        <v>0</v>
      </c>
      <c r="R66" s="2" t="inlineStr"/>
    </row>
    <row r="67" ht="15" customHeight="1">
      <c r="A67" t="inlineStr">
        <is>
          <t>A 59565-2025</t>
        </is>
      </c>
      <c r="B67" s="1" t="n">
        <v>45991.88413194445</v>
      </c>
      <c r="C67" s="1" t="n">
        <v>46161</v>
      </c>
      <c r="D67" t="inlineStr">
        <is>
          <t>STOCKHOLMS LÄN</t>
        </is>
      </c>
      <c r="E67" t="inlineStr">
        <is>
          <t>HANINGE</t>
        </is>
      </c>
      <c r="G67" t="n">
        <v>1.2</v>
      </c>
      <c r="H67" t="n">
        <v>0</v>
      </c>
      <c r="I67" t="n">
        <v>0</v>
      </c>
      <c r="J67" t="n">
        <v>0</v>
      </c>
      <c r="K67" t="n">
        <v>0</v>
      </c>
      <c r="L67" t="n">
        <v>0</v>
      </c>
      <c r="M67" t="n">
        <v>0</v>
      </c>
      <c r="N67" t="n">
        <v>0</v>
      </c>
      <c r="O67" t="n">
        <v>0</v>
      </c>
      <c r="P67" t="n">
        <v>0</v>
      </c>
      <c r="Q67" t="n">
        <v>0</v>
      </c>
      <c r="R67" s="2" t="inlineStr"/>
    </row>
    <row r="68" ht="15" customHeight="1">
      <c r="A68" t="inlineStr">
        <is>
          <t>A 59569-2025</t>
        </is>
      </c>
      <c r="B68" s="1" t="n">
        <v>45991.92870370371</v>
      </c>
      <c r="C68" s="1" t="n">
        <v>46161</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59568-2025</t>
        </is>
      </c>
      <c r="B69" s="1" t="n">
        <v>45991.90737268519</v>
      </c>
      <c r="C69" s="1" t="n">
        <v>46161</v>
      </c>
      <c r="D69" t="inlineStr">
        <is>
          <t>STOCKHOLMS LÄN</t>
        </is>
      </c>
      <c r="E69" t="inlineStr">
        <is>
          <t>HANINGE</t>
        </is>
      </c>
      <c r="G69" t="n">
        <v>5.8</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46161</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46161</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46161</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46161</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46161</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46161</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46161</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68896-2021</t>
        </is>
      </c>
      <c r="B77" s="1" t="n">
        <v>44526</v>
      </c>
      <c r="C77" s="1" t="n">
        <v>46161</v>
      </c>
      <c r="D77" t="inlineStr">
        <is>
          <t>STOCKHOLMS LÄN</t>
        </is>
      </c>
      <c r="E77" t="inlineStr">
        <is>
          <t>HANINGE</t>
        </is>
      </c>
      <c r="G77" t="n">
        <v>3.4</v>
      </c>
      <c r="H77" t="n">
        <v>0</v>
      </c>
      <c r="I77" t="n">
        <v>0</v>
      </c>
      <c r="J77" t="n">
        <v>0</v>
      </c>
      <c r="K77" t="n">
        <v>0</v>
      </c>
      <c r="L77" t="n">
        <v>0</v>
      </c>
      <c r="M77" t="n">
        <v>0</v>
      </c>
      <c r="N77" t="n">
        <v>0</v>
      </c>
      <c r="O77" t="n">
        <v>0</v>
      </c>
      <c r="P77" t="n">
        <v>0</v>
      </c>
      <c r="Q77" t="n">
        <v>0</v>
      </c>
      <c r="R77" s="2" t="inlineStr"/>
    </row>
    <row r="78" ht="15" customHeight="1">
      <c r="A78" t="inlineStr">
        <is>
          <t>A 6648-2023</t>
        </is>
      </c>
      <c r="B78" s="1" t="n">
        <v>44966</v>
      </c>
      <c r="C78" s="1" t="n">
        <v>46161</v>
      </c>
      <c r="D78" t="inlineStr">
        <is>
          <t>STOCKHOLMS LÄN</t>
        </is>
      </c>
      <c r="E78" t="inlineStr">
        <is>
          <t>HANINGE</t>
        </is>
      </c>
      <c r="G78" t="n">
        <v>4</v>
      </c>
      <c r="H78" t="n">
        <v>0</v>
      </c>
      <c r="I78" t="n">
        <v>0</v>
      </c>
      <c r="J78" t="n">
        <v>0</v>
      </c>
      <c r="K78" t="n">
        <v>0</v>
      </c>
      <c r="L78" t="n">
        <v>0</v>
      </c>
      <c r="M78" t="n">
        <v>0</v>
      </c>
      <c r="N78" t="n">
        <v>0</v>
      </c>
      <c r="O78" t="n">
        <v>0</v>
      </c>
      <c r="P78" t="n">
        <v>0</v>
      </c>
      <c r="Q78" t="n">
        <v>0</v>
      </c>
      <c r="R78" s="2" t="inlineStr"/>
    </row>
    <row r="79" ht="15" customHeight="1">
      <c r="A79" t="inlineStr">
        <is>
          <t>A 33792-2023</t>
        </is>
      </c>
      <c r="B79" s="1" t="n">
        <v>45121</v>
      </c>
      <c r="C79" s="1" t="n">
        <v>46161</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14900-2025</t>
        </is>
      </c>
      <c r="B80" s="1" t="n">
        <v>45743.48729166666</v>
      </c>
      <c r="C80" s="1" t="n">
        <v>46161</v>
      </c>
      <c r="D80" t="inlineStr">
        <is>
          <t>STOCKHOLMS LÄN</t>
        </is>
      </c>
      <c r="E80" t="inlineStr">
        <is>
          <t>HANINGE</t>
        </is>
      </c>
      <c r="G80" t="n">
        <v>4.5</v>
      </c>
      <c r="H80" t="n">
        <v>0</v>
      </c>
      <c r="I80" t="n">
        <v>0</v>
      </c>
      <c r="J80" t="n">
        <v>0</v>
      </c>
      <c r="K80" t="n">
        <v>0</v>
      </c>
      <c r="L80" t="n">
        <v>0</v>
      </c>
      <c r="M80" t="n">
        <v>0</v>
      </c>
      <c r="N80" t="n">
        <v>0</v>
      </c>
      <c r="O80" t="n">
        <v>0</v>
      </c>
      <c r="P80" t="n">
        <v>0</v>
      </c>
      <c r="Q80" t="n">
        <v>0</v>
      </c>
      <c r="R80" s="2" t="inlineStr"/>
    </row>
    <row r="81" ht="15" customHeight="1">
      <c r="A81" t="inlineStr">
        <is>
          <t>A 20527-2025</t>
        </is>
      </c>
      <c r="B81" s="1" t="n">
        <v>45775.60663194444</v>
      </c>
      <c r="C81" s="1" t="n">
        <v>46161</v>
      </c>
      <c r="D81" t="inlineStr">
        <is>
          <t>STOCKHOLMS LÄN</t>
        </is>
      </c>
      <c r="E81" t="inlineStr">
        <is>
          <t>HANINGE</t>
        </is>
      </c>
      <c r="G81" t="n">
        <v>2.1</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46161</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1180-2024</t>
        </is>
      </c>
      <c r="B83" s="1" t="n">
        <v>45302</v>
      </c>
      <c r="C83" s="1" t="n">
        <v>46161</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24873-2023</t>
        </is>
      </c>
      <c r="B84" s="1" t="n">
        <v>45085</v>
      </c>
      <c r="C84" s="1" t="n">
        <v>46161</v>
      </c>
      <c r="D84" t="inlineStr">
        <is>
          <t>STOCKHOLMS LÄN</t>
        </is>
      </c>
      <c r="E84" t="inlineStr">
        <is>
          <t>HANINGE</t>
        </is>
      </c>
      <c r="G84" t="n">
        <v>1.9</v>
      </c>
      <c r="H84" t="n">
        <v>0</v>
      </c>
      <c r="I84" t="n">
        <v>0</v>
      </c>
      <c r="J84" t="n">
        <v>0</v>
      </c>
      <c r="K84" t="n">
        <v>0</v>
      </c>
      <c r="L84" t="n">
        <v>0</v>
      </c>
      <c r="M84" t="n">
        <v>0</v>
      </c>
      <c r="N84" t="n">
        <v>0</v>
      </c>
      <c r="O84" t="n">
        <v>0</v>
      </c>
      <c r="P84" t="n">
        <v>0</v>
      </c>
      <c r="Q84" t="n">
        <v>0</v>
      </c>
      <c r="R84" s="2" t="inlineStr"/>
    </row>
    <row r="85" ht="15" customHeight="1">
      <c r="A85" t="inlineStr">
        <is>
          <t>A 58599-2023</t>
        </is>
      </c>
      <c r="B85" s="1" t="n">
        <v>45251.47721064815</v>
      </c>
      <c r="C85" s="1" t="n">
        <v>46161</v>
      </c>
      <c r="D85" t="inlineStr">
        <is>
          <t>STOCKHOLMS LÄN</t>
        </is>
      </c>
      <c r="E85" t="inlineStr">
        <is>
          <t>HANINGE</t>
        </is>
      </c>
      <c r="G85" t="n">
        <v>3.2</v>
      </c>
      <c r="H85" t="n">
        <v>0</v>
      </c>
      <c r="I85" t="n">
        <v>0</v>
      </c>
      <c r="J85" t="n">
        <v>0</v>
      </c>
      <c r="K85" t="n">
        <v>0</v>
      </c>
      <c r="L85" t="n">
        <v>0</v>
      </c>
      <c r="M85" t="n">
        <v>0</v>
      </c>
      <c r="N85" t="n">
        <v>0</v>
      </c>
      <c r="O85" t="n">
        <v>0</v>
      </c>
      <c r="P85" t="n">
        <v>0</v>
      </c>
      <c r="Q85" t="n">
        <v>0</v>
      </c>
      <c r="R85" s="2" t="inlineStr"/>
    </row>
    <row r="86" ht="15" customHeight="1">
      <c r="A86" t="inlineStr">
        <is>
          <t>A 52836-2024</t>
        </is>
      </c>
      <c r="B86" s="1" t="n">
        <v>45610.59637731482</v>
      </c>
      <c r="C86" s="1" t="n">
        <v>46161</v>
      </c>
      <c r="D86" t="inlineStr">
        <is>
          <t>STOCKHOLMS LÄN</t>
        </is>
      </c>
      <c r="E86" t="inlineStr">
        <is>
          <t>HANINGE</t>
        </is>
      </c>
      <c r="G86" t="n">
        <v>1</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46161</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12787-2026</t>
        </is>
      </c>
      <c r="B88" s="1" t="n">
        <v>46091.85130787037</v>
      </c>
      <c r="C88" s="1" t="n">
        <v>46161</v>
      </c>
      <c r="D88" t="inlineStr">
        <is>
          <t>STOCKHOLMS LÄN</t>
        </is>
      </c>
      <c r="E88" t="inlineStr">
        <is>
          <t>HANINGE</t>
        </is>
      </c>
      <c r="G88" t="n">
        <v>4</v>
      </c>
      <c r="H88" t="n">
        <v>0</v>
      </c>
      <c r="I88" t="n">
        <v>0</v>
      </c>
      <c r="J88" t="n">
        <v>0</v>
      </c>
      <c r="K88" t="n">
        <v>0</v>
      </c>
      <c r="L88" t="n">
        <v>0</v>
      </c>
      <c r="M88" t="n">
        <v>0</v>
      </c>
      <c r="N88" t="n">
        <v>0</v>
      </c>
      <c r="O88" t="n">
        <v>0</v>
      </c>
      <c r="P88" t="n">
        <v>0</v>
      </c>
      <c r="Q88" t="n">
        <v>0</v>
      </c>
      <c r="R88" s="2" t="inlineStr"/>
    </row>
    <row r="89" ht="15" customHeight="1">
      <c r="A89" t="inlineStr">
        <is>
          <t>A 19220-2023</t>
        </is>
      </c>
      <c r="B89" s="1" t="n">
        <v>45048</v>
      </c>
      <c r="C89" s="1" t="n">
        <v>46161</v>
      </c>
      <c r="D89" t="inlineStr">
        <is>
          <t>STOCKHOLMS LÄN</t>
        </is>
      </c>
      <c r="E89" t="inlineStr">
        <is>
          <t>HANINGE</t>
        </is>
      </c>
      <c r="G89" t="n">
        <v>1.4</v>
      </c>
      <c r="H89" t="n">
        <v>0</v>
      </c>
      <c r="I89" t="n">
        <v>0</v>
      </c>
      <c r="J89" t="n">
        <v>0</v>
      </c>
      <c r="K89" t="n">
        <v>0</v>
      </c>
      <c r="L89" t="n">
        <v>0</v>
      </c>
      <c r="M89" t="n">
        <v>0</v>
      </c>
      <c r="N89" t="n">
        <v>0</v>
      </c>
      <c r="O89" t="n">
        <v>0</v>
      </c>
      <c r="P89" t="n">
        <v>0</v>
      </c>
      <c r="Q89" t="n">
        <v>0</v>
      </c>
      <c r="R89" s="2" t="inlineStr"/>
    </row>
    <row r="90" ht="15" customHeight="1">
      <c r="A90" t="inlineStr">
        <is>
          <t>A 25584-2023</t>
        </is>
      </c>
      <c r="B90" s="1" t="n">
        <v>45089</v>
      </c>
      <c r="C90" s="1" t="n">
        <v>46161</v>
      </c>
      <c r="D90" t="inlineStr">
        <is>
          <t>STOCKHOLMS LÄN</t>
        </is>
      </c>
      <c r="E90" t="inlineStr">
        <is>
          <t>HANINGE</t>
        </is>
      </c>
      <c r="G90" t="n">
        <v>4.8</v>
      </c>
      <c r="H90" t="n">
        <v>0</v>
      </c>
      <c r="I90" t="n">
        <v>0</v>
      </c>
      <c r="J90" t="n">
        <v>0</v>
      </c>
      <c r="K90" t="n">
        <v>0</v>
      </c>
      <c r="L90" t="n">
        <v>0</v>
      </c>
      <c r="M90" t="n">
        <v>0</v>
      </c>
      <c r="N90" t="n">
        <v>0</v>
      </c>
      <c r="O90" t="n">
        <v>0</v>
      </c>
      <c r="P90" t="n">
        <v>0</v>
      </c>
      <c r="Q90" t="n">
        <v>0</v>
      </c>
      <c r="R90" s="2" t="inlineStr"/>
    </row>
    <row r="91" ht="15" customHeight="1">
      <c r="A91" t="inlineStr">
        <is>
          <t>A 12782-2026</t>
        </is>
      </c>
      <c r="B91" s="1" t="n">
        <v>46091</v>
      </c>
      <c r="C91" s="1" t="n">
        <v>46161</v>
      </c>
      <c r="D91" t="inlineStr">
        <is>
          <t>STOCKHOLMS LÄN</t>
        </is>
      </c>
      <c r="E91" t="inlineStr">
        <is>
          <t>HANINGE</t>
        </is>
      </c>
      <c r="G91" t="n">
        <v>2.3</v>
      </c>
      <c r="H91" t="n">
        <v>0</v>
      </c>
      <c r="I91" t="n">
        <v>0</v>
      </c>
      <c r="J91" t="n">
        <v>0</v>
      </c>
      <c r="K91" t="n">
        <v>0</v>
      </c>
      <c r="L91" t="n">
        <v>0</v>
      </c>
      <c r="M91" t="n">
        <v>0</v>
      </c>
      <c r="N91" t="n">
        <v>0</v>
      </c>
      <c r="O91" t="n">
        <v>0</v>
      </c>
      <c r="P91" t="n">
        <v>0</v>
      </c>
      <c r="Q91" t="n">
        <v>0</v>
      </c>
      <c r="R91" s="2" t="inlineStr"/>
    </row>
    <row r="92" ht="15" customHeight="1">
      <c r="A92" t="inlineStr">
        <is>
          <t>A 3156-2025</t>
        </is>
      </c>
      <c r="B92" s="1" t="n">
        <v>45679.32142361111</v>
      </c>
      <c r="C92" s="1" t="n">
        <v>46161</v>
      </c>
      <c r="D92" t="inlineStr">
        <is>
          <t>STOCKHOLMS LÄN</t>
        </is>
      </c>
      <c r="E92" t="inlineStr">
        <is>
          <t>HANINGE</t>
        </is>
      </c>
      <c r="G92" t="n">
        <v>3.3</v>
      </c>
      <c r="H92" t="n">
        <v>0</v>
      </c>
      <c r="I92" t="n">
        <v>0</v>
      </c>
      <c r="J92" t="n">
        <v>0</v>
      </c>
      <c r="K92" t="n">
        <v>0</v>
      </c>
      <c r="L92" t="n">
        <v>0</v>
      </c>
      <c r="M92" t="n">
        <v>0</v>
      </c>
      <c r="N92" t="n">
        <v>0</v>
      </c>
      <c r="O92" t="n">
        <v>0</v>
      </c>
      <c r="P92" t="n">
        <v>0</v>
      </c>
      <c r="Q92" t="n">
        <v>0</v>
      </c>
      <c r="R92" s="2" t="inlineStr"/>
    </row>
    <row r="93" ht="15" customHeight="1">
      <c r="A93" t="inlineStr">
        <is>
          <t>A 17765-2024</t>
        </is>
      </c>
      <c r="B93" s="1" t="n">
        <v>45418.63149305555</v>
      </c>
      <c r="C93" s="1" t="n">
        <v>46161</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68894-2021</t>
        </is>
      </c>
      <c r="B94" s="1" t="n">
        <v>44526</v>
      </c>
      <c r="C94" s="1" t="n">
        <v>46161</v>
      </c>
      <c r="D94" t="inlineStr">
        <is>
          <t>STOCKHOLMS LÄN</t>
        </is>
      </c>
      <c r="E94" t="inlineStr">
        <is>
          <t>HANINGE</t>
        </is>
      </c>
      <c r="G94" t="n">
        <v>1.2</v>
      </c>
      <c r="H94" t="n">
        <v>0</v>
      </c>
      <c r="I94" t="n">
        <v>0</v>
      </c>
      <c r="J94" t="n">
        <v>0</v>
      </c>
      <c r="K94" t="n">
        <v>0</v>
      </c>
      <c r="L94" t="n">
        <v>0</v>
      </c>
      <c r="M94" t="n">
        <v>0</v>
      </c>
      <c r="N94" t="n">
        <v>0</v>
      </c>
      <c r="O94" t="n">
        <v>0</v>
      </c>
      <c r="P94" t="n">
        <v>0</v>
      </c>
      <c r="Q94" t="n">
        <v>0</v>
      </c>
      <c r="R94" s="2" t="inlineStr"/>
    </row>
    <row r="95" ht="15" customHeight="1">
      <c r="A95" t="inlineStr">
        <is>
          <t>A 18491-2025</t>
        </is>
      </c>
      <c r="B95" s="1" t="n">
        <v>45763.34135416667</v>
      </c>
      <c r="C95" s="1" t="n">
        <v>46161</v>
      </c>
      <c r="D95" t="inlineStr">
        <is>
          <t>STOCKHOLMS LÄN</t>
        </is>
      </c>
      <c r="E95" t="inlineStr">
        <is>
          <t>HANINGE</t>
        </is>
      </c>
      <c r="G95" t="n">
        <v>0.5</v>
      </c>
      <c r="H95" t="n">
        <v>0</v>
      </c>
      <c r="I95" t="n">
        <v>0</v>
      </c>
      <c r="J95" t="n">
        <v>0</v>
      </c>
      <c r="K95" t="n">
        <v>0</v>
      </c>
      <c r="L95" t="n">
        <v>0</v>
      </c>
      <c r="M95" t="n">
        <v>0</v>
      </c>
      <c r="N95" t="n">
        <v>0</v>
      </c>
      <c r="O95" t="n">
        <v>0</v>
      </c>
      <c r="P95" t="n">
        <v>0</v>
      </c>
      <c r="Q95" t="n">
        <v>0</v>
      </c>
      <c r="R95" s="2" t="inlineStr"/>
    </row>
    <row r="96" ht="15" customHeight="1">
      <c r="A96" t="inlineStr">
        <is>
          <t>A 1187-2024</t>
        </is>
      </c>
      <c r="B96" s="1" t="n">
        <v>45302.58045138889</v>
      </c>
      <c r="C96" s="1" t="n">
        <v>46161</v>
      </c>
      <c r="D96" t="inlineStr">
        <is>
          <t>STOCKHOLMS LÄN</t>
        </is>
      </c>
      <c r="E96" t="inlineStr">
        <is>
          <t>HANINGE</t>
        </is>
      </c>
      <c r="G96" t="n">
        <v>1.5</v>
      </c>
      <c r="H96" t="n">
        <v>0</v>
      </c>
      <c r="I96" t="n">
        <v>0</v>
      </c>
      <c r="J96" t="n">
        <v>0</v>
      </c>
      <c r="K96" t="n">
        <v>0</v>
      </c>
      <c r="L96" t="n">
        <v>0</v>
      </c>
      <c r="M96" t="n">
        <v>0</v>
      </c>
      <c r="N96" t="n">
        <v>0</v>
      </c>
      <c r="O96" t="n">
        <v>0</v>
      </c>
      <c r="P96" t="n">
        <v>0</v>
      </c>
      <c r="Q96" t="n">
        <v>0</v>
      </c>
      <c r="R96" s="2" t="inlineStr"/>
    </row>
    <row r="97">
      <c r="A97" t="inlineStr">
        <is>
          <t>A 52773-2024</t>
        </is>
      </c>
      <c r="B97" s="1" t="n">
        <v>45610.53207175926</v>
      </c>
      <c r="C97" s="1" t="n">
        <v>46161</v>
      </c>
      <c r="D97" t="inlineStr">
        <is>
          <t>STOCKHOLMS LÄN</t>
        </is>
      </c>
      <c r="E97" t="inlineStr">
        <is>
          <t>HANINGE</t>
        </is>
      </c>
      <c r="G97" t="n">
        <v>0.7</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2026-05-19T10:58:58Z</dcterms:created>
  <dcterms:modified xmlns:dcterms="http://purl.org/dc/terms/" xmlns:xsi="http://www.w3.org/2001/XMLSchema-instance" xsi:type="dcterms:W3CDTF">2026-05-19T10:58:58Z</dcterms:modified>
</cp:coreProperties>
</file>