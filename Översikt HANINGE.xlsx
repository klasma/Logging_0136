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46025</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46025</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46025</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46025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46025</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46025</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46025</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46025</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46025</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46025</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46025</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46025</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46025</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46025</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20507-2025</t>
        </is>
      </c>
      <c r="B16" s="1" t="n">
        <v>45775.59121527777</v>
      </c>
      <c r="C16" s="1" t="n">
        <v>46025</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24189-2025</t>
        </is>
      </c>
      <c r="B17" s="1" t="n">
        <v>45796.84584490741</v>
      </c>
      <c r="C17" s="1" t="n">
        <v>46025</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1424-2021</t>
        </is>
      </c>
      <c r="B18" s="1" t="n">
        <v>44208</v>
      </c>
      <c r="C18" s="1" t="n">
        <v>46025</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46025</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46025</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46025</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46025</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59570-2025</t>
        </is>
      </c>
      <c r="B23" s="1" t="n">
        <v>45991.93646990741</v>
      </c>
      <c r="C23" s="1" t="n">
        <v>46025</v>
      </c>
      <c r="D23" t="inlineStr">
        <is>
          <t>STOCKHOLMS LÄN</t>
        </is>
      </c>
      <c r="E23" t="inlineStr">
        <is>
          <t>HANINGE</t>
        </is>
      </c>
      <c r="G23" t="n">
        <v>2.3</v>
      </c>
      <c r="H23" t="n">
        <v>1</v>
      </c>
      <c r="I23" t="n">
        <v>0</v>
      </c>
      <c r="J23" t="n">
        <v>1</v>
      </c>
      <c r="K23" t="n">
        <v>0</v>
      </c>
      <c r="L23" t="n">
        <v>0</v>
      </c>
      <c r="M23" t="n">
        <v>0</v>
      </c>
      <c r="N23" t="n">
        <v>0</v>
      </c>
      <c r="O23" t="n">
        <v>1</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34823-2022</t>
        </is>
      </c>
      <c r="B24" s="1" t="n">
        <v>44796</v>
      </c>
      <c r="C24" s="1" t="n">
        <v>46025</v>
      </c>
      <c r="D24" t="inlineStr">
        <is>
          <t>STOCKHOLMS LÄN</t>
        </is>
      </c>
      <c r="E24" t="inlineStr">
        <is>
          <t>HANINGE</t>
        </is>
      </c>
      <c r="G24" t="n">
        <v>12</v>
      </c>
      <c r="H24" t="n">
        <v>0</v>
      </c>
      <c r="I24" t="n">
        <v>0</v>
      </c>
      <c r="J24" t="n">
        <v>0</v>
      </c>
      <c r="K24" t="n">
        <v>1</v>
      </c>
      <c r="L24" t="n">
        <v>0</v>
      </c>
      <c r="M24" t="n">
        <v>0</v>
      </c>
      <c r="N24" t="n">
        <v>0</v>
      </c>
      <c r="O24" t="n">
        <v>1</v>
      </c>
      <c r="P24" t="n">
        <v>1</v>
      </c>
      <c r="Q24" t="n">
        <v>1</v>
      </c>
      <c r="R24" s="2" t="inlineStr">
        <is>
          <t>Mörk kraterlav</t>
        </is>
      </c>
      <c r="S24">
        <f>HYPERLINK("https://klasma.github.io/Logging_0136/artfynd/A 34823-2022 artfynd.xlsx", "A 34823-2022")</f>
        <v/>
      </c>
      <c r="T24">
        <f>HYPERLINK("https://klasma.github.io/Logging_0136/kartor/A 34823-2022 karta.png", "A 34823-2022")</f>
        <v/>
      </c>
      <c r="V24">
        <f>HYPERLINK("https://klasma.github.io/Logging_0136/klagomål/A 34823-2022 FSC-klagomål.docx", "A 34823-2022")</f>
        <v/>
      </c>
      <c r="W24">
        <f>HYPERLINK("https://klasma.github.io/Logging_0136/klagomålsmail/A 34823-2022 FSC-klagomål mail.docx", "A 34823-2022")</f>
        <v/>
      </c>
      <c r="X24">
        <f>HYPERLINK("https://klasma.github.io/Logging_0136/tillsyn/A 34823-2022 tillsynsbegäran.docx", "A 34823-2022")</f>
        <v/>
      </c>
      <c r="Y24">
        <f>HYPERLINK("https://klasma.github.io/Logging_0136/tillsynsmail/A 34823-2022 tillsynsbegäran mail.docx", "A 34823-2022")</f>
        <v/>
      </c>
    </row>
    <row r="25" ht="15" customHeight="1">
      <c r="A25" t="inlineStr">
        <is>
          <t>A 68883-2021</t>
        </is>
      </c>
      <c r="B25" s="1" t="n">
        <v>44526</v>
      </c>
      <c r="C25" s="1" t="n">
        <v>46025</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46025</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46025</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46025</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46025</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46025</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46025</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46025</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46025</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46025</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50903-2021</t>
        </is>
      </c>
      <c r="B35" s="1" t="n">
        <v>44460</v>
      </c>
      <c r="C35" s="1" t="n">
        <v>46025</v>
      </c>
      <c r="D35" t="inlineStr">
        <is>
          <t>STOCKHOLMS LÄN</t>
        </is>
      </c>
      <c r="E35" t="inlineStr">
        <is>
          <t>HANINGE</t>
        </is>
      </c>
      <c r="G35" t="n">
        <v>1.5</v>
      </c>
      <c r="H35" t="n">
        <v>0</v>
      </c>
      <c r="I35" t="n">
        <v>0</v>
      </c>
      <c r="J35" t="n">
        <v>0</v>
      </c>
      <c r="K35" t="n">
        <v>0</v>
      </c>
      <c r="L35" t="n">
        <v>0</v>
      </c>
      <c r="M35" t="n">
        <v>0</v>
      </c>
      <c r="N35" t="n">
        <v>0</v>
      </c>
      <c r="O35" t="n">
        <v>0</v>
      </c>
      <c r="P35" t="n">
        <v>0</v>
      </c>
      <c r="Q35" t="n">
        <v>0</v>
      </c>
      <c r="R35" s="2" t="inlineStr"/>
    </row>
    <row r="36" ht="15" customHeight="1">
      <c r="A36" t="inlineStr">
        <is>
          <t>A 45501-2022</t>
        </is>
      </c>
      <c r="B36" s="1" t="n">
        <v>44845.42407407407</v>
      </c>
      <c r="C36" s="1" t="n">
        <v>46025</v>
      </c>
      <c r="D36" t="inlineStr">
        <is>
          <t>STOCKHOLMS LÄN</t>
        </is>
      </c>
      <c r="E36" t="inlineStr">
        <is>
          <t>HANINGE</t>
        </is>
      </c>
      <c r="G36" t="n">
        <v>2.7</v>
      </c>
      <c r="H36" t="n">
        <v>0</v>
      </c>
      <c r="I36" t="n">
        <v>0</v>
      </c>
      <c r="J36" t="n">
        <v>0</v>
      </c>
      <c r="K36" t="n">
        <v>0</v>
      </c>
      <c r="L36" t="n">
        <v>0</v>
      </c>
      <c r="M36" t="n">
        <v>0</v>
      </c>
      <c r="N36" t="n">
        <v>0</v>
      </c>
      <c r="O36" t="n">
        <v>0</v>
      </c>
      <c r="P36" t="n">
        <v>0</v>
      </c>
      <c r="Q36" t="n">
        <v>0</v>
      </c>
      <c r="R36" s="2" t="inlineStr"/>
    </row>
    <row r="37" ht="15" customHeight="1">
      <c r="A37" t="inlineStr">
        <is>
          <t>A 45498-2022</t>
        </is>
      </c>
      <c r="B37" s="1" t="n">
        <v>44845.42118055555</v>
      </c>
      <c r="C37" s="1" t="n">
        <v>46025</v>
      </c>
      <c r="D37" t="inlineStr">
        <is>
          <t>STOCKHOLMS LÄN</t>
        </is>
      </c>
      <c r="E37" t="inlineStr">
        <is>
          <t>HANINGE</t>
        </is>
      </c>
      <c r="G37" t="n">
        <v>2.1</v>
      </c>
      <c r="H37" t="n">
        <v>0</v>
      </c>
      <c r="I37" t="n">
        <v>0</v>
      </c>
      <c r="J37" t="n">
        <v>0</v>
      </c>
      <c r="K37" t="n">
        <v>0</v>
      </c>
      <c r="L37" t="n">
        <v>0</v>
      </c>
      <c r="M37" t="n">
        <v>0</v>
      </c>
      <c r="N37" t="n">
        <v>0</v>
      </c>
      <c r="O37" t="n">
        <v>0</v>
      </c>
      <c r="P37" t="n">
        <v>0</v>
      </c>
      <c r="Q37" t="n">
        <v>0</v>
      </c>
      <c r="R37" s="2" t="inlineStr"/>
    </row>
    <row r="38" ht="15" customHeight="1">
      <c r="A38" t="inlineStr">
        <is>
          <t>A 55853-2021</t>
        </is>
      </c>
      <c r="B38" s="1" t="n">
        <v>44476</v>
      </c>
      <c r="C38" s="1" t="n">
        <v>46025</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19652-2022</t>
        </is>
      </c>
      <c r="B39" s="1" t="n">
        <v>44694</v>
      </c>
      <c r="C39" s="1" t="n">
        <v>46025</v>
      </c>
      <c r="D39" t="inlineStr">
        <is>
          <t>STOCKHOLMS LÄN</t>
        </is>
      </c>
      <c r="E39" t="inlineStr">
        <is>
          <t>HANINGE</t>
        </is>
      </c>
      <c r="G39" t="n">
        <v>1.3</v>
      </c>
      <c r="H39" t="n">
        <v>0</v>
      </c>
      <c r="I39" t="n">
        <v>0</v>
      </c>
      <c r="J39" t="n">
        <v>0</v>
      </c>
      <c r="K39" t="n">
        <v>0</v>
      </c>
      <c r="L39" t="n">
        <v>0</v>
      </c>
      <c r="M39" t="n">
        <v>0</v>
      </c>
      <c r="N39" t="n">
        <v>0</v>
      </c>
      <c r="O39" t="n">
        <v>0</v>
      </c>
      <c r="P39" t="n">
        <v>0</v>
      </c>
      <c r="Q39" t="n">
        <v>0</v>
      </c>
      <c r="R39" s="2" t="inlineStr"/>
    </row>
    <row r="40" ht="15" customHeight="1">
      <c r="A40" t="inlineStr">
        <is>
          <t>A 45395-2021</t>
        </is>
      </c>
      <c r="B40" s="1" t="n">
        <v>44440</v>
      </c>
      <c r="C40" s="1" t="n">
        <v>46025</v>
      </c>
      <c r="D40" t="inlineStr">
        <is>
          <t>STOCKHOLMS LÄN</t>
        </is>
      </c>
      <c r="E40" t="inlineStr">
        <is>
          <t>HANINGE</t>
        </is>
      </c>
      <c r="F40" t="inlineStr">
        <is>
          <t>Övriga statliga verk och myndigheter</t>
        </is>
      </c>
      <c r="G40" t="n">
        <v>3.5</v>
      </c>
      <c r="H40" t="n">
        <v>0</v>
      </c>
      <c r="I40" t="n">
        <v>0</v>
      </c>
      <c r="J40" t="n">
        <v>0</v>
      </c>
      <c r="K40" t="n">
        <v>0</v>
      </c>
      <c r="L40" t="n">
        <v>0</v>
      </c>
      <c r="M40" t="n">
        <v>0</v>
      </c>
      <c r="N40" t="n">
        <v>0</v>
      </c>
      <c r="O40" t="n">
        <v>0</v>
      </c>
      <c r="P40" t="n">
        <v>0</v>
      </c>
      <c r="Q40" t="n">
        <v>0</v>
      </c>
      <c r="R40" s="2" t="inlineStr"/>
    </row>
    <row r="41" ht="15" customHeight="1">
      <c r="A41" t="inlineStr">
        <is>
          <t>A 43709-2021</t>
        </is>
      </c>
      <c r="B41" s="1" t="n">
        <v>44433.62136574074</v>
      </c>
      <c r="C41" s="1" t="n">
        <v>46025</v>
      </c>
      <c r="D41" t="inlineStr">
        <is>
          <t>STOCKHOLMS LÄN</t>
        </is>
      </c>
      <c r="E41" t="inlineStr">
        <is>
          <t>HANINGE</t>
        </is>
      </c>
      <c r="G41" t="n">
        <v>4</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46025</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46025</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13135-2022</t>
        </is>
      </c>
      <c r="B44" s="1" t="n">
        <v>44643</v>
      </c>
      <c r="C44" s="1" t="n">
        <v>46025</v>
      </c>
      <c r="D44" t="inlineStr">
        <is>
          <t>STOCKHOLMS LÄN</t>
        </is>
      </c>
      <c r="E44" t="inlineStr">
        <is>
          <t>HANINGE</t>
        </is>
      </c>
      <c r="G44" t="n">
        <v>2</v>
      </c>
      <c r="H44" t="n">
        <v>0</v>
      </c>
      <c r="I44" t="n">
        <v>0</v>
      </c>
      <c r="J44" t="n">
        <v>0</v>
      </c>
      <c r="K44" t="n">
        <v>0</v>
      </c>
      <c r="L44" t="n">
        <v>0</v>
      </c>
      <c r="M44" t="n">
        <v>0</v>
      </c>
      <c r="N44" t="n">
        <v>0</v>
      </c>
      <c r="O44" t="n">
        <v>0</v>
      </c>
      <c r="P44" t="n">
        <v>0</v>
      </c>
      <c r="Q44" t="n">
        <v>0</v>
      </c>
      <c r="R44" s="2" t="inlineStr"/>
    </row>
    <row r="45" ht="15" customHeight="1">
      <c r="A45" t="inlineStr">
        <is>
          <t>A 30419-2022</t>
        </is>
      </c>
      <c r="B45" s="1" t="n">
        <v>44761</v>
      </c>
      <c r="C45" s="1" t="n">
        <v>46025</v>
      </c>
      <c r="D45" t="inlineStr">
        <is>
          <t>STOCKHOLMS LÄN</t>
        </is>
      </c>
      <c r="E45" t="inlineStr">
        <is>
          <t>HANINGE</t>
        </is>
      </c>
      <c r="G45" t="n">
        <v>7.4</v>
      </c>
      <c r="H45" t="n">
        <v>0</v>
      </c>
      <c r="I45" t="n">
        <v>0</v>
      </c>
      <c r="J45" t="n">
        <v>0</v>
      </c>
      <c r="K45" t="n">
        <v>0</v>
      </c>
      <c r="L45" t="n">
        <v>0</v>
      </c>
      <c r="M45" t="n">
        <v>0</v>
      </c>
      <c r="N45" t="n">
        <v>0</v>
      </c>
      <c r="O45" t="n">
        <v>0</v>
      </c>
      <c r="P45" t="n">
        <v>0</v>
      </c>
      <c r="Q45" t="n">
        <v>0</v>
      </c>
      <c r="R45" s="2" t="inlineStr"/>
    </row>
    <row r="46" ht="15" customHeight="1">
      <c r="A46" t="inlineStr">
        <is>
          <t>A 37000-2022</t>
        </is>
      </c>
      <c r="B46" s="1" t="n">
        <v>44806</v>
      </c>
      <c r="C46" s="1" t="n">
        <v>46025</v>
      </c>
      <c r="D46" t="inlineStr">
        <is>
          <t>STOCKHOLMS LÄN</t>
        </is>
      </c>
      <c r="E46" t="inlineStr">
        <is>
          <t>HANINGE</t>
        </is>
      </c>
      <c r="F46" t="inlineStr">
        <is>
          <t>Övriga statliga verk och myndigheter</t>
        </is>
      </c>
      <c r="G46" t="n">
        <v>2</v>
      </c>
      <c r="H46" t="n">
        <v>0</v>
      </c>
      <c r="I46" t="n">
        <v>0</v>
      </c>
      <c r="J46" t="n">
        <v>0</v>
      </c>
      <c r="K46" t="n">
        <v>0</v>
      </c>
      <c r="L46" t="n">
        <v>0</v>
      </c>
      <c r="M46" t="n">
        <v>0</v>
      </c>
      <c r="N46" t="n">
        <v>0</v>
      </c>
      <c r="O46" t="n">
        <v>0</v>
      </c>
      <c r="P46" t="n">
        <v>0</v>
      </c>
      <c r="Q46" t="n">
        <v>0</v>
      </c>
      <c r="R46" s="2" t="inlineStr"/>
    </row>
    <row r="47" ht="15" customHeight="1">
      <c r="A47" t="inlineStr">
        <is>
          <t>A 3156-2025</t>
        </is>
      </c>
      <c r="B47" s="1" t="n">
        <v>45679.32142361111</v>
      </c>
      <c r="C47" s="1" t="n">
        <v>46025</v>
      </c>
      <c r="D47" t="inlineStr">
        <is>
          <t>STOCKHOLMS LÄN</t>
        </is>
      </c>
      <c r="E47" t="inlineStr">
        <is>
          <t>HANINGE</t>
        </is>
      </c>
      <c r="G47" t="n">
        <v>3.3</v>
      </c>
      <c r="H47" t="n">
        <v>0</v>
      </c>
      <c r="I47" t="n">
        <v>0</v>
      </c>
      <c r="J47" t="n">
        <v>0</v>
      </c>
      <c r="K47" t="n">
        <v>0</v>
      </c>
      <c r="L47" t="n">
        <v>0</v>
      </c>
      <c r="M47" t="n">
        <v>0</v>
      </c>
      <c r="N47" t="n">
        <v>0</v>
      </c>
      <c r="O47" t="n">
        <v>0</v>
      </c>
      <c r="P47" t="n">
        <v>0</v>
      </c>
      <c r="Q47" t="n">
        <v>0</v>
      </c>
      <c r="R47" s="2" t="inlineStr"/>
    </row>
    <row r="48" ht="15" customHeight="1">
      <c r="A48" t="inlineStr">
        <is>
          <t>A 18491-2025</t>
        </is>
      </c>
      <c r="B48" s="1" t="n">
        <v>45763.34135416667</v>
      </c>
      <c r="C48" s="1" t="n">
        <v>46025</v>
      </c>
      <c r="D48" t="inlineStr">
        <is>
          <t>STOCKHOLMS LÄN</t>
        </is>
      </c>
      <c r="E48" t="inlineStr">
        <is>
          <t>HANINGE</t>
        </is>
      </c>
      <c r="G48" t="n">
        <v>0.5</v>
      </c>
      <c r="H48" t="n">
        <v>0</v>
      </c>
      <c r="I48" t="n">
        <v>0</v>
      </c>
      <c r="J48" t="n">
        <v>0</v>
      </c>
      <c r="K48" t="n">
        <v>0</v>
      </c>
      <c r="L48" t="n">
        <v>0</v>
      </c>
      <c r="M48" t="n">
        <v>0</v>
      </c>
      <c r="N48" t="n">
        <v>0</v>
      </c>
      <c r="O48" t="n">
        <v>0</v>
      </c>
      <c r="P48" t="n">
        <v>0</v>
      </c>
      <c r="Q48" t="n">
        <v>0</v>
      </c>
      <c r="R48" s="2" t="inlineStr"/>
    </row>
    <row r="49" ht="15" customHeight="1">
      <c r="A49" t="inlineStr">
        <is>
          <t>A 68896-2021</t>
        </is>
      </c>
      <c r="B49" s="1" t="n">
        <v>44526</v>
      </c>
      <c r="C49" s="1" t="n">
        <v>46025</v>
      </c>
      <c r="D49" t="inlineStr">
        <is>
          <t>STOCKHOLMS LÄN</t>
        </is>
      </c>
      <c r="E49" t="inlineStr">
        <is>
          <t>HANINGE</t>
        </is>
      </c>
      <c r="G49" t="n">
        <v>3.4</v>
      </c>
      <c r="H49" t="n">
        <v>0</v>
      </c>
      <c r="I49" t="n">
        <v>0</v>
      </c>
      <c r="J49" t="n">
        <v>0</v>
      </c>
      <c r="K49" t="n">
        <v>0</v>
      </c>
      <c r="L49" t="n">
        <v>0</v>
      </c>
      <c r="M49" t="n">
        <v>0</v>
      </c>
      <c r="N49" t="n">
        <v>0</v>
      </c>
      <c r="O49" t="n">
        <v>0</v>
      </c>
      <c r="P49" t="n">
        <v>0</v>
      </c>
      <c r="Q49" t="n">
        <v>0</v>
      </c>
      <c r="R49" s="2" t="inlineStr"/>
    </row>
    <row r="50" ht="15" customHeight="1">
      <c r="A50" t="inlineStr">
        <is>
          <t>A 6648-2023</t>
        </is>
      </c>
      <c r="B50" s="1" t="n">
        <v>44966</v>
      </c>
      <c r="C50" s="1" t="n">
        <v>46025</v>
      </c>
      <c r="D50" t="inlineStr">
        <is>
          <t>STOCKHOLMS LÄN</t>
        </is>
      </c>
      <c r="E50" t="inlineStr">
        <is>
          <t>HANINGE</t>
        </is>
      </c>
      <c r="G50" t="n">
        <v>4</v>
      </c>
      <c r="H50" t="n">
        <v>0</v>
      </c>
      <c r="I50" t="n">
        <v>0</v>
      </c>
      <c r="J50" t="n">
        <v>0</v>
      </c>
      <c r="K50" t="n">
        <v>0</v>
      </c>
      <c r="L50" t="n">
        <v>0</v>
      </c>
      <c r="M50" t="n">
        <v>0</v>
      </c>
      <c r="N50" t="n">
        <v>0</v>
      </c>
      <c r="O50" t="n">
        <v>0</v>
      </c>
      <c r="P50" t="n">
        <v>0</v>
      </c>
      <c r="Q50" t="n">
        <v>0</v>
      </c>
      <c r="R50" s="2" t="inlineStr"/>
    </row>
    <row r="51" ht="15" customHeight="1">
      <c r="A51" t="inlineStr">
        <is>
          <t>A 38880-2025</t>
        </is>
      </c>
      <c r="B51" s="1" t="n">
        <v>45887.57966435186</v>
      </c>
      <c r="C51" s="1" t="n">
        <v>46025</v>
      </c>
      <c r="D51" t="inlineStr">
        <is>
          <t>STOCKHOLMS LÄN</t>
        </is>
      </c>
      <c r="E51" t="inlineStr">
        <is>
          <t>HANINGE</t>
        </is>
      </c>
      <c r="G51" t="n">
        <v>3.2</v>
      </c>
      <c r="H51" t="n">
        <v>0</v>
      </c>
      <c r="I51" t="n">
        <v>0</v>
      </c>
      <c r="J51" t="n">
        <v>0</v>
      </c>
      <c r="K51" t="n">
        <v>0</v>
      </c>
      <c r="L51" t="n">
        <v>0</v>
      </c>
      <c r="M51" t="n">
        <v>0</v>
      </c>
      <c r="N51" t="n">
        <v>0</v>
      </c>
      <c r="O51" t="n">
        <v>0</v>
      </c>
      <c r="P51" t="n">
        <v>0</v>
      </c>
      <c r="Q51" t="n">
        <v>0</v>
      </c>
      <c r="R51" s="2" t="inlineStr"/>
    </row>
    <row r="52" ht="15" customHeight="1">
      <c r="A52" t="inlineStr">
        <is>
          <t>A 8163-2024</t>
        </is>
      </c>
      <c r="B52" s="1" t="n">
        <v>45351.60337962963</v>
      </c>
      <c r="C52" s="1" t="n">
        <v>46025</v>
      </c>
      <c r="D52" t="inlineStr">
        <is>
          <t>STOCKHOLMS LÄN</t>
        </is>
      </c>
      <c r="E52" t="inlineStr">
        <is>
          <t>HANINGE</t>
        </is>
      </c>
      <c r="F52" t="inlineStr">
        <is>
          <t>Kommuner</t>
        </is>
      </c>
      <c r="G52" t="n">
        <v>3.8</v>
      </c>
      <c r="H52" t="n">
        <v>0</v>
      </c>
      <c r="I52" t="n">
        <v>0</v>
      </c>
      <c r="J52" t="n">
        <v>0</v>
      </c>
      <c r="K52" t="n">
        <v>0</v>
      </c>
      <c r="L52" t="n">
        <v>0</v>
      </c>
      <c r="M52" t="n">
        <v>0</v>
      </c>
      <c r="N52" t="n">
        <v>0</v>
      </c>
      <c r="O52" t="n">
        <v>0</v>
      </c>
      <c r="P52" t="n">
        <v>0</v>
      </c>
      <c r="Q52" t="n">
        <v>0</v>
      </c>
      <c r="R52" s="2" t="inlineStr"/>
    </row>
    <row r="53" ht="15" customHeight="1">
      <c r="A53" t="inlineStr">
        <is>
          <t>A 58599-2023</t>
        </is>
      </c>
      <c r="B53" s="1" t="n">
        <v>45251.47721064815</v>
      </c>
      <c r="C53" s="1" t="n">
        <v>46025</v>
      </c>
      <c r="D53" t="inlineStr">
        <is>
          <t>STOCKHOLMS LÄN</t>
        </is>
      </c>
      <c r="E53" t="inlineStr">
        <is>
          <t>HANINGE</t>
        </is>
      </c>
      <c r="G53" t="n">
        <v>3.2</v>
      </c>
      <c r="H53" t="n">
        <v>0</v>
      </c>
      <c r="I53" t="n">
        <v>0</v>
      </c>
      <c r="J53" t="n">
        <v>0</v>
      </c>
      <c r="K53" t="n">
        <v>0</v>
      </c>
      <c r="L53" t="n">
        <v>0</v>
      </c>
      <c r="M53" t="n">
        <v>0</v>
      </c>
      <c r="N53" t="n">
        <v>0</v>
      </c>
      <c r="O53" t="n">
        <v>0</v>
      </c>
      <c r="P53" t="n">
        <v>0</v>
      </c>
      <c r="Q53" t="n">
        <v>0</v>
      </c>
      <c r="R53" s="2" t="inlineStr"/>
    </row>
    <row r="54" ht="15" customHeight="1">
      <c r="A54" t="inlineStr">
        <is>
          <t>A 18528-2024</t>
        </is>
      </c>
      <c r="B54" s="1" t="n">
        <v>45425.61965277778</v>
      </c>
      <c r="C54" s="1" t="n">
        <v>46025</v>
      </c>
      <c r="D54" t="inlineStr">
        <is>
          <t>STOCKHOLMS LÄN</t>
        </is>
      </c>
      <c r="E54" t="inlineStr">
        <is>
          <t>HANINGE</t>
        </is>
      </c>
      <c r="F54" t="inlineStr">
        <is>
          <t>Kommuner</t>
        </is>
      </c>
      <c r="G54" t="n">
        <v>0.5</v>
      </c>
      <c r="H54" t="n">
        <v>0</v>
      </c>
      <c r="I54" t="n">
        <v>0</v>
      </c>
      <c r="J54" t="n">
        <v>0</v>
      </c>
      <c r="K54" t="n">
        <v>0</v>
      </c>
      <c r="L54" t="n">
        <v>0</v>
      </c>
      <c r="M54" t="n">
        <v>0</v>
      </c>
      <c r="N54" t="n">
        <v>0</v>
      </c>
      <c r="O54" t="n">
        <v>0</v>
      </c>
      <c r="P54" t="n">
        <v>0</v>
      </c>
      <c r="Q54" t="n">
        <v>0</v>
      </c>
      <c r="R54" s="2" t="inlineStr"/>
    </row>
    <row r="55" ht="15" customHeight="1">
      <c r="A55" t="inlineStr">
        <is>
          <t>A 32952-2025</t>
        </is>
      </c>
      <c r="B55" s="1" t="n">
        <v>45839.69278935185</v>
      </c>
      <c r="C55" s="1" t="n">
        <v>46025</v>
      </c>
      <c r="D55" t="inlineStr">
        <is>
          <t>STOCKHOLMS LÄN</t>
        </is>
      </c>
      <c r="E55" t="inlineStr">
        <is>
          <t>HANINGE</t>
        </is>
      </c>
      <c r="G55" t="n">
        <v>1.3</v>
      </c>
      <c r="H55" t="n">
        <v>0</v>
      </c>
      <c r="I55" t="n">
        <v>0</v>
      </c>
      <c r="J55" t="n">
        <v>0</v>
      </c>
      <c r="K55" t="n">
        <v>0</v>
      </c>
      <c r="L55" t="n">
        <v>0</v>
      </c>
      <c r="M55" t="n">
        <v>0</v>
      </c>
      <c r="N55" t="n">
        <v>0</v>
      </c>
      <c r="O55" t="n">
        <v>0</v>
      </c>
      <c r="P55" t="n">
        <v>0</v>
      </c>
      <c r="Q55" t="n">
        <v>0</v>
      </c>
      <c r="R55" s="2" t="inlineStr"/>
    </row>
    <row r="56" ht="15" customHeight="1">
      <c r="A56" t="inlineStr">
        <is>
          <t>A 32954-2025</t>
        </is>
      </c>
      <c r="B56" s="1" t="n">
        <v>45839.70034722222</v>
      </c>
      <c r="C56" s="1" t="n">
        <v>46025</v>
      </c>
      <c r="D56" t="inlineStr">
        <is>
          <t>STOCKHOLMS LÄN</t>
        </is>
      </c>
      <c r="E56" t="inlineStr">
        <is>
          <t>HANINGE</t>
        </is>
      </c>
      <c r="G56" t="n">
        <v>1.6</v>
      </c>
      <c r="H56" t="n">
        <v>0</v>
      </c>
      <c r="I56" t="n">
        <v>0</v>
      </c>
      <c r="J56" t="n">
        <v>0</v>
      </c>
      <c r="K56" t="n">
        <v>0</v>
      </c>
      <c r="L56" t="n">
        <v>0</v>
      </c>
      <c r="M56" t="n">
        <v>0</v>
      </c>
      <c r="N56" t="n">
        <v>0</v>
      </c>
      <c r="O56" t="n">
        <v>0</v>
      </c>
      <c r="P56" t="n">
        <v>0</v>
      </c>
      <c r="Q56" t="n">
        <v>0</v>
      </c>
      <c r="R56" s="2" t="inlineStr"/>
    </row>
    <row r="57" ht="15" customHeight="1">
      <c r="A57" t="inlineStr">
        <is>
          <t>A 32948-2025</t>
        </is>
      </c>
      <c r="B57" s="1" t="n">
        <v>45839</v>
      </c>
      <c r="C57" s="1" t="n">
        <v>46025</v>
      </c>
      <c r="D57" t="inlineStr">
        <is>
          <t>STOCKHOLMS LÄN</t>
        </is>
      </c>
      <c r="E57" t="inlineStr">
        <is>
          <t>HANINGE</t>
        </is>
      </c>
      <c r="G57" t="n">
        <v>1.1</v>
      </c>
      <c r="H57" t="n">
        <v>0</v>
      </c>
      <c r="I57" t="n">
        <v>0</v>
      </c>
      <c r="J57" t="n">
        <v>0</v>
      </c>
      <c r="K57" t="n">
        <v>0</v>
      </c>
      <c r="L57" t="n">
        <v>0</v>
      </c>
      <c r="M57" t="n">
        <v>0</v>
      </c>
      <c r="N57" t="n">
        <v>0</v>
      </c>
      <c r="O57" t="n">
        <v>0</v>
      </c>
      <c r="P57" t="n">
        <v>0</v>
      </c>
      <c r="Q57" t="n">
        <v>0</v>
      </c>
      <c r="R57" s="2" t="inlineStr"/>
    </row>
    <row r="58" ht="15" customHeight="1">
      <c r="A58" t="inlineStr">
        <is>
          <t>A 38595-2021</t>
        </is>
      </c>
      <c r="B58" s="1" t="n">
        <v>44407</v>
      </c>
      <c r="C58" s="1" t="n">
        <v>46025</v>
      </c>
      <c r="D58" t="inlineStr">
        <is>
          <t>STOCKHOLMS LÄN</t>
        </is>
      </c>
      <c r="E58" t="inlineStr">
        <is>
          <t>HANINGE</t>
        </is>
      </c>
      <c r="G58" t="n">
        <v>1.1</v>
      </c>
      <c r="H58" t="n">
        <v>0</v>
      </c>
      <c r="I58" t="n">
        <v>0</v>
      </c>
      <c r="J58" t="n">
        <v>0</v>
      </c>
      <c r="K58" t="n">
        <v>0</v>
      </c>
      <c r="L58" t="n">
        <v>0</v>
      </c>
      <c r="M58" t="n">
        <v>0</v>
      </c>
      <c r="N58" t="n">
        <v>0</v>
      </c>
      <c r="O58" t="n">
        <v>0</v>
      </c>
      <c r="P58" t="n">
        <v>0</v>
      </c>
      <c r="Q58" t="n">
        <v>0</v>
      </c>
      <c r="R58" s="2" t="inlineStr"/>
    </row>
    <row r="59" ht="15" customHeight="1">
      <c r="A59" t="inlineStr">
        <is>
          <t>A 48606-2025</t>
        </is>
      </c>
      <c r="B59" s="1" t="n">
        <v>45936.47019675926</v>
      </c>
      <c r="C59" s="1" t="n">
        <v>46025</v>
      </c>
      <c r="D59" t="inlineStr">
        <is>
          <t>STOCKHOLMS LÄN</t>
        </is>
      </c>
      <c r="E59" t="inlineStr">
        <is>
          <t>HANINGE</t>
        </is>
      </c>
      <c r="G59" t="n">
        <v>6.9</v>
      </c>
      <c r="H59" t="n">
        <v>0</v>
      </c>
      <c r="I59" t="n">
        <v>0</v>
      </c>
      <c r="J59" t="n">
        <v>0</v>
      </c>
      <c r="K59" t="n">
        <v>0</v>
      </c>
      <c r="L59" t="n">
        <v>0</v>
      </c>
      <c r="M59" t="n">
        <v>0</v>
      </c>
      <c r="N59" t="n">
        <v>0</v>
      </c>
      <c r="O59" t="n">
        <v>0</v>
      </c>
      <c r="P59" t="n">
        <v>0</v>
      </c>
      <c r="Q59" t="n">
        <v>0</v>
      </c>
      <c r="R59" s="2" t="inlineStr"/>
    </row>
    <row r="60" ht="15" customHeight="1">
      <c r="A60" t="inlineStr">
        <is>
          <t>A 50306-2023</t>
        </is>
      </c>
      <c r="B60" s="1" t="n">
        <v>45209</v>
      </c>
      <c r="C60" s="1" t="n">
        <v>46025</v>
      </c>
      <c r="D60" t="inlineStr">
        <is>
          <t>STOCKHOLMS LÄN</t>
        </is>
      </c>
      <c r="E60" t="inlineStr">
        <is>
          <t>HANINGE</t>
        </is>
      </c>
      <c r="G60" t="n">
        <v>2.3</v>
      </c>
      <c r="H60" t="n">
        <v>0</v>
      </c>
      <c r="I60" t="n">
        <v>0</v>
      </c>
      <c r="J60" t="n">
        <v>0</v>
      </c>
      <c r="K60" t="n">
        <v>0</v>
      </c>
      <c r="L60" t="n">
        <v>0</v>
      </c>
      <c r="M60" t="n">
        <v>0</v>
      </c>
      <c r="N60" t="n">
        <v>0</v>
      </c>
      <c r="O60" t="n">
        <v>0</v>
      </c>
      <c r="P60" t="n">
        <v>0</v>
      </c>
      <c r="Q60" t="n">
        <v>0</v>
      </c>
      <c r="R60" s="2" t="inlineStr"/>
      <c r="U60">
        <f>HYPERLINK("https://klasma.github.io/Logging_0136/knärot/A 50306-2023 karta knärot.png", "A 50306-2023")</f>
        <v/>
      </c>
      <c r="V60">
        <f>HYPERLINK("https://klasma.github.io/Logging_0136/klagomål/A 50306-2023 FSC-klagomål.docx", "A 50306-2023")</f>
        <v/>
      </c>
      <c r="W60">
        <f>HYPERLINK("https://klasma.github.io/Logging_0136/klagomålsmail/A 50306-2023 FSC-klagomål mail.docx", "A 50306-2023")</f>
        <v/>
      </c>
      <c r="X60">
        <f>HYPERLINK("https://klasma.github.io/Logging_0136/tillsyn/A 50306-2023 tillsynsbegäran.docx", "A 50306-2023")</f>
        <v/>
      </c>
      <c r="Y60">
        <f>HYPERLINK("https://klasma.github.io/Logging_0136/tillsynsmail/A 50306-2023 tillsynsbegäran mail.docx", "A 50306-2023")</f>
        <v/>
      </c>
    </row>
    <row r="61" ht="15" customHeight="1">
      <c r="A61" t="inlineStr">
        <is>
          <t>A 22288-2023</t>
        </is>
      </c>
      <c r="B61" s="1" t="n">
        <v>45070</v>
      </c>
      <c r="C61" s="1" t="n">
        <v>46025</v>
      </c>
      <c r="D61" t="inlineStr">
        <is>
          <t>STOCKHOLMS LÄN</t>
        </is>
      </c>
      <c r="E61" t="inlineStr">
        <is>
          <t>HANINGE</t>
        </is>
      </c>
      <c r="G61" t="n">
        <v>2.8</v>
      </c>
      <c r="H61" t="n">
        <v>0</v>
      </c>
      <c r="I61" t="n">
        <v>0</v>
      </c>
      <c r="J61" t="n">
        <v>0</v>
      </c>
      <c r="K61" t="n">
        <v>0</v>
      </c>
      <c r="L61" t="n">
        <v>0</v>
      </c>
      <c r="M61" t="n">
        <v>0</v>
      </c>
      <c r="N61" t="n">
        <v>0</v>
      </c>
      <c r="O61" t="n">
        <v>0</v>
      </c>
      <c r="P61" t="n">
        <v>0</v>
      </c>
      <c r="Q61" t="n">
        <v>0</v>
      </c>
      <c r="R61" s="2" t="inlineStr"/>
    </row>
    <row r="62" ht="15" customHeight="1">
      <c r="A62" t="inlineStr">
        <is>
          <t>A 33792-2023</t>
        </is>
      </c>
      <c r="B62" s="1" t="n">
        <v>45121</v>
      </c>
      <c r="C62" s="1" t="n">
        <v>46025</v>
      </c>
      <c r="D62" t="inlineStr">
        <is>
          <t>STOCKHOLMS LÄN</t>
        </is>
      </c>
      <c r="E62" t="inlineStr">
        <is>
          <t>HANINGE</t>
        </is>
      </c>
      <c r="G62" t="n">
        <v>1.4</v>
      </c>
      <c r="H62" t="n">
        <v>0</v>
      </c>
      <c r="I62" t="n">
        <v>0</v>
      </c>
      <c r="J62" t="n">
        <v>0</v>
      </c>
      <c r="K62" t="n">
        <v>0</v>
      </c>
      <c r="L62" t="n">
        <v>0</v>
      </c>
      <c r="M62" t="n">
        <v>0</v>
      </c>
      <c r="N62" t="n">
        <v>0</v>
      </c>
      <c r="O62" t="n">
        <v>0</v>
      </c>
      <c r="P62" t="n">
        <v>0</v>
      </c>
      <c r="Q62" t="n">
        <v>0</v>
      </c>
      <c r="R62" s="2" t="inlineStr"/>
    </row>
    <row r="63" ht="15" customHeight="1">
      <c r="A63" t="inlineStr">
        <is>
          <t>A 14264-2025</t>
        </is>
      </c>
      <c r="B63" s="1" t="n">
        <v>45740.6340162037</v>
      </c>
      <c r="C63" s="1" t="n">
        <v>46025</v>
      </c>
      <c r="D63" t="inlineStr">
        <is>
          <t>STOCKHOLMS LÄN</t>
        </is>
      </c>
      <c r="E63" t="inlineStr">
        <is>
          <t>HANINGE</t>
        </is>
      </c>
      <c r="G63" t="n">
        <v>1</v>
      </c>
      <c r="H63" t="n">
        <v>0</v>
      </c>
      <c r="I63" t="n">
        <v>0</v>
      </c>
      <c r="J63" t="n">
        <v>0</v>
      </c>
      <c r="K63" t="n">
        <v>0</v>
      </c>
      <c r="L63" t="n">
        <v>0</v>
      </c>
      <c r="M63" t="n">
        <v>0</v>
      </c>
      <c r="N63" t="n">
        <v>0</v>
      </c>
      <c r="O63" t="n">
        <v>0</v>
      </c>
      <c r="P63" t="n">
        <v>0</v>
      </c>
      <c r="Q63" t="n">
        <v>0</v>
      </c>
      <c r="R63" s="2" t="inlineStr"/>
    </row>
    <row r="64" ht="15" customHeight="1">
      <c r="A64" t="inlineStr">
        <is>
          <t>A 20839-2024</t>
        </is>
      </c>
      <c r="B64" s="1" t="n">
        <v>45439.39953703704</v>
      </c>
      <c r="C64" s="1" t="n">
        <v>46025</v>
      </c>
      <c r="D64" t="inlineStr">
        <is>
          <t>STOCKHOLMS LÄN</t>
        </is>
      </c>
      <c r="E64" t="inlineStr">
        <is>
          <t>HANINGE</t>
        </is>
      </c>
      <c r="G64" t="n">
        <v>8.4</v>
      </c>
      <c r="H64" t="n">
        <v>0</v>
      </c>
      <c r="I64" t="n">
        <v>0</v>
      </c>
      <c r="J64" t="n">
        <v>0</v>
      </c>
      <c r="K64" t="n">
        <v>0</v>
      </c>
      <c r="L64" t="n">
        <v>0</v>
      </c>
      <c r="M64" t="n">
        <v>0</v>
      </c>
      <c r="N64" t="n">
        <v>0</v>
      </c>
      <c r="O64" t="n">
        <v>0</v>
      </c>
      <c r="P64" t="n">
        <v>0</v>
      </c>
      <c r="Q64" t="n">
        <v>0</v>
      </c>
      <c r="R64" s="2" t="inlineStr"/>
    </row>
    <row r="65" ht="15" customHeight="1">
      <c r="A65" t="inlineStr">
        <is>
          <t>A 59568-2025</t>
        </is>
      </c>
      <c r="B65" s="1" t="n">
        <v>45991.90737268519</v>
      </c>
      <c r="C65" s="1" t="n">
        <v>46025</v>
      </c>
      <c r="D65" t="inlineStr">
        <is>
          <t>STOCKHOLMS LÄN</t>
        </is>
      </c>
      <c r="E65" t="inlineStr">
        <is>
          <t>HANINGE</t>
        </is>
      </c>
      <c r="G65" t="n">
        <v>5.8</v>
      </c>
      <c r="H65" t="n">
        <v>0</v>
      </c>
      <c r="I65" t="n">
        <v>0</v>
      </c>
      <c r="J65" t="n">
        <v>0</v>
      </c>
      <c r="K65" t="n">
        <v>0</v>
      </c>
      <c r="L65" t="n">
        <v>0</v>
      </c>
      <c r="M65" t="n">
        <v>0</v>
      </c>
      <c r="N65" t="n">
        <v>0</v>
      </c>
      <c r="O65" t="n">
        <v>0</v>
      </c>
      <c r="P65" t="n">
        <v>0</v>
      </c>
      <c r="Q65" t="n">
        <v>0</v>
      </c>
      <c r="R65" s="2" t="inlineStr"/>
    </row>
    <row r="66" ht="15" customHeight="1">
      <c r="A66" t="inlineStr">
        <is>
          <t>A 59569-2025</t>
        </is>
      </c>
      <c r="B66" s="1" t="n">
        <v>45991.92870370371</v>
      </c>
      <c r="C66" s="1" t="n">
        <v>46025</v>
      </c>
      <c r="D66" t="inlineStr">
        <is>
          <t>STOCKHOLMS LÄN</t>
        </is>
      </c>
      <c r="E66" t="inlineStr">
        <is>
          <t>HANINGE</t>
        </is>
      </c>
      <c r="G66" t="n">
        <v>1.3</v>
      </c>
      <c r="H66" t="n">
        <v>0</v>
      </c>
      <c r="I66" t="n">
        <v>0</v>
      </c>
      <c r="J66" t="n">
        <v>0</v>
      </c>
      <c r="K66" t="n">
        <v>0</v>
      </c>
      <c r="L66" t="n">
        <v>0</v>
      </c>
      <c r="M66" t="n">
        <v>0</v>
      </c>
      <c r="N66" t="n">
        <v>0</v>
      </c>
      <c r="O66" t="n">
        <v>0</v>
      </c>
      <c r="P66" t="n">
        <v>0</v>
      </c>
      <c r="Q66" t="n">
        <v>0</v>
      </c>
      <c r="R66" s="2" t="inlineStr"/>
    </row>
    <row r="67" ht="15" customHeight="1">
      <c r="A67" t="inlineStr">
        <is>
          <t>A 59565-2025</t>
        </is>
      </c>
      <c r="B67" s="1" t="n">
        <v>45991.88413194445</v>
      </c>
      <c r="C67" s="1" t="n">
        <v>46025</v>
      </c>
      <c r="D67" t="inlineStr">
        <is>
          <t>STOCKHOLMS LÄN</t>
        </is>
      </c>
      <c r="E67" t="inlineStr">
        <is>
          <t>HANINGE</t>
        </is>
      </c>
      <c r="G67" t="n">
        <v>1.2</v>
      </c>
      <c r="H67" t="n">
        <v>0</v>
      </c>
      <c r="I67" t="n">
        <v>0</v>
      </c>
      <c r="J67" t="n">
        <v>0</v>
      </c>
      <c r="K67" t="n">
        <v>0</v>
      </c>
      <c r="L67" t="n">
        <v>0</v>
      </c>
      <c r="M67" t="n">
        <v>0</v>
      </c>
      <c r="N67" t="n">
        <v>0</v>
      </c>
      <c r="O67" t="n">
        <v>0</v>
      </c>
      <c r="P67" t="n">
        <v>0</v>
      </c>
      <c r="Q67" t="n">
        <v>0</v>
      </c>
      <c r="R67" s="2" t="inlineStr"/>
    </row>
    <row r="68" ht="15" customHeight="1">
      <c r="A68" t="inlineStr">
        <is>
          <t>A 17020-2022</t>
        </is>
      </c>
      <c r="B68" s="1" t="n">
        <v>44676</v>
      </c>
      <c r="C68" s="1" t="n">
        <v>46025</v>
      </c>
      <c r="D68" t="inlineStr">
        <is>
          <t>STOCKHOLMS LÄN</t>
        </is>
      </c>
      <c r="E68" t="inlineStr">
        <is>
          <t>HANINGE</t>
        </is>
      </c>
      <c r="F68" t="inlineStr">
        <is>
          <t>Övriga statliga verk och myndigheter</t>
        </is>
      </c>
      <c r="G68" t="n">
        <v>12.4</v>
      </c>
      <c r="H68" t="n">
        <v>0</v>
      </c>
      <c r="I68" t="n">
        <v>0</v>
      </c>
      <c r="J68" t="n">
        <v>0</v>
      </c>
      <c r="K68" t="n">
        <v>0</v>
      </c>
      <c r="L68" t="n">
        <v>0</v>
      </c>
      <c r="M68" t="n">
        <v>0</v>
      </c>
      <c r="N68" t="n">
        <v>0</v>
      </c>
      <c r="O68" t="n">
        <v>0</v>
      </c>
      <c r="P68" t="n">
        <v>0</v>
      </c>
      <c r="Q68" t="n">
        <v>0</v>
      </c>
      <c r="R68" s="2" t="inlineStr"/>
    </row>
    <row r="69" ht="15" customHeight="1">
      <c r="A69" t="inlineStr">
        <is>
          <t>A 18512-2024</t>
        </is>
      </c>
      <c r="B69" s="1" t="n">
        <v>45425.59938657407</v>
      </c>
      <c r="C69" s="1" t="n">
        <v>46025</v>
      </c>
      <c r="D69" t="inlineStr">
        <is>
          <t>STOCKHOLMS LÄN</t>
        </is>
      </c>
      <c r="E69" t="inlineStr">
        <is>
          <t>HANINGE</t>
        </is>
      </c>
      <c r="F69" t="inlineStr">
        <is>
          <t>Kommuner</t>
        </is>
      </c>
      <c r="G69" t="n">
        <v>0.7</v>
      </c>
      <c r="H69" t="n">
        <v>0</v>
      </c>
      <c r="I69" t="n">
        <v>0</v>
      </c>
      <c r="J69" t="n">
        <v>0</v>
      </c>
      <c r="K69" t="n">
        <v>0</v>
      </c>
      <c r="L69" t="n">
        <v>0</v>
      </c>
      <c r="M69" t="n">
        <v>0</v>
      </c>
      <c r="N69" t="n">
        <v>0</v>
      </c>
      <c r="O69" t="n">
        <v>0</v>
      </c>
      <c r="P69" t="n">
        <v>0</v>
      </c>
      <c r="Q69" t="n">
        <v>0</v>
      </c>
      <c r="R69" s="2" t="inlineStr"/>
    </row>
    <row r="70" ht="15" customHeight="1">
      <c r="A70" t="inlineStr">
        <is>
          <t>A 4297-2024</t>
        </is>
      </c>
      <c r="B70" s="1" t="n">
        <v>45324.62291666667</v>
      </c>
      <c r="C70" s="1" t="n">
        <v>46025</v>
      </c>
      <c r="D70" t="inlineStr">
        <is>
          <t>STOCKHOLMS LÄN</t>
        </is>
      </c>
      <c r="E70" t="inlineStr">
        <is>
          <t>HANINGE</t>
        </is>
      </c>
      <c r="F70" t="inlineStr">
        <is>
          <t>Kommuner</t>
        </is>
      </c>
      <c r="G70" t="n">
        <v>0.4</v>
      </c>
      <c r="H70" t="n">
        <v>0</v>
      </c>
      <c r="I70" t="n">
        <v>0</v>
      </c>
      <c r="J70" t="n">
        <v>0</v>
      </c>
      <c r="K70" t="n">
        <v>0</v>
      </c>
      <c r="L70" t="n">
        <v>0</v>
      </c>
      <c r="M70" t="n">
        <v>0</v>
      </c>
      <c r="N70" t="n">
        <v>0</v>
      </c>
      <c r="O70" t="n">
        <v>0</v>
      </c>
      <c r="P70" t="n">
        <v>0</v>
      </c>
      <c r="Q70" t="n">
        <v>0</v>
      </c>
      <c r="R70" s="2" t="inlineStr"/>
    </row>
    <row r="71" ht="15" customHeight="1">
      <c r="A71" t="inlineStr">
        <is>
          <t>A 1703-2023</t>
        </is>
      </c>
      <c r="B71" s="1" t="n">
        <v>44938.44412037037</v>
      </c>
      <c r="C71" s="1" t="n">
        <v>46025</v>
      </c>
      <c r="D71" t="inlineStr">
        <is>
          <t>STOCKHOLMS LÄN</t>
        </is>
      </c>
      <c r="E71" t="inlineStr">
        <is>
          <t>HANINGE</t>
        </is>
      </c>
      <c r="G71" t="n">
        <v>1.8</v>
      </c>
      <c r="H71" t="n">
        <v>0</v>
      </c>
      <c r="I71" t="n">
        <v>0</v>
      </c>
      <c r="J71" t="n">
        <v>0</v>
      </c>
      <c r="K71" t="n">
        <v>0</v>
      </c>
      <c r="L71" t="n">
        <v>0</v>
      </c>
      <c r="M71" t="n">
        <v>0</v>
      </c>
      <c r="N71" t="n">
        <v>0</v>
      </c>
      <c r="O71" t="n">
        <v>0</v>
      </c>
      <c r="P71" t="n">
        <v>0</v>
      </c>
      <c r="Q71" t="n">
        <v>0</v>
      </c>
      <c r="R71" s="2" t="inlineStr"/>
    </row>
    <row r="72" ht="15" customHeight="1">
      <c r="A72" t="inlineStr">
        <is>
          <t>A 17765-2024</t>
        </is>
      </c>
      <c r="B72" s="1" t="n">
        <v>45418.63149305555</v>
      </c>
      <c r="C72" s="1" t="n">
        <v>46025</v>
      </c>
      <c r="D72" t="inlineStr">
        <is>
          <t>STOCKHOLMS LÄN</t>
        </is>
      </c>
      <c r="E72" t="inlineStr">
        <is>
          <t>HANINGE</t>
        </is>
      </c>
      <c r="G72" t="n">
        <v>1.3</v>
      </c>
      <c r="H72" t="n">
        <v>0</v>
      </c>
      <c r="I72" t="n">
        <v>0</v>
      </c>
      <c r="J72" t="n">
        <v>0</v>
      </c>
      <c r="K72" t="n">
        <v>0</v>
      </c>
      <c r="L72" t="n">
        <v>0</v>
      </c>
      <c r="M72" t="n">
        <v>0</v>
      </c>
      <c r="N72" t="n">
        <v>0</v>
      </c>
      <c r="O72" t="n">
        <v>0</v>
      </c>
      <c r="P72" t="n">
        <v>0</v>
      </c>
      <c r="Q72" t="n">
        <v>0</v>
      </c>
      <c r="R72" s="2" t="inlineStr"/>
    </row>
    <row r="73" ht="15" customHeight="1">
      <c r="A73" t="inlineStr">
        <is>
          <t>A 25584-2023</t>
        </is>
      </c>
      <c r="B73" s="1" t="n">
        <v>45089</v>
      </c>
      <c r="C73" s="1" t="n">
        <v>46025</v>
      </c>
      <c r="D73" t="inlineStr">
        <is>
          <t>STOCKHOLMS LÄN</t>
        </is>
      </c>
      <c r="E73" t="inlineStr">
        <is>
          <t>HANINGE</t>
        </is>
      </c>
      <c r="G73" t="n">
        <v>4.8</v>
      </c>
      <c r="H73" t="n">
        <v>0</v>
      </c>
      <c r="I73" t="n">
        <v>0</v>
      </c>
      <c r="J73" t="n">
        <v>0</v>
      </c>
      <c r="K73" t="n">
        <v>0</v>
      </c>
      <c r="L73" t="n">
        <v>0</v>
      </c>
      <c r="M73" t="n">
        <v>0</v>
      </c>
      <c r="N73" t="n">
        <v>0</v>
      </c>
      <c r="O73" t="n">
        <v>0</v>
      </c>
      <c r="P73" t="n">
        <v>0</v>
      </c>
      <c r="Q73" t="n">
        <v>0</v>
      </c>
      <c r="R73" s="2" t="inlineStr"/>
    </row>
    <row r="74" ht="15" customHeight="1">
      <c r="A74" t="inlineStr">
        <is>
          <t>A 20527-2025</t>
        </is>
      </c>
      <c r="B74" s="1" t="n">
        <v>45775.60663194444</v>
      </c>
      <c r="C74" s="1" t="n">
        <v>46025</v>
      </c>
      <c r="D74" t="inlineStr">
        <is>
          <t>STOCKHOLMS LÄN</t>
        </is>
      </c>
      <c r="E74" t="inlineStr">
        <is>
          <t>HANINGE</t>
        </is>
      </c>
      <c r="G74" t="n">
        <v>2.1</v>
      </c>
      <c r="H74" t="n">
        <v>0</v>
      </c>
      <c r="I74" t="n">
        <v>0</v>
      </c>
      <c r="J74" t="n">
        <v>0</v>
      </c>
      <c r="K74" t="n">
        <v>0</v>
      </c>
      <c r="L74" t="n">
        <v>0</v>
      </c>
      <c r="M74" t="n">
        <v>0</v>
      </c>
      <c r="N74" t="n">
        <v>0</v>
      </c>
      <c r="O74" t="n">
        <v>0</v>
      </c>
      <c r="P74" t="n">
        <v>0</v>
      </c>
      <c r="Q74" t="n">
        <v>0</v>
      </c>
      <c r="R74" s="2" t="inlineStr"/>
    </row>
    <row r="75" ht="15" customHeight="1">
      <c r="A75" t="inlineStr">
        <is>
          <t>A 1187-2024</t>
        </is>
      </c>
      <c r="B75" s="1" t="n">
        <v>45302.58045138889</v>
      </c>
      <c r="C75" s="1" t="n">
        <v>46025</v>
      </c>
      <c r="D75" t="inlineStr">
        <is>
          <t>STOCKHOLMS LÄN</t>
        </is>
      </c>
      <c r="E75" t="inlineStr">
        <is>
          <t>HANINGE</t>
        </is>
      </c>
      <c r="G75" t="n">
        <v>1.5</v>
      </c>
      <c r="H75" t="n">
        <v>0</v>
      </c>
      <c r="I75" t="n">
        <v>0</v>
      </c>
      <c r="J75" t="n">
        <v>0</v>
      </c>
      <c r="K75" t="n">
        <v>0</v>
      </c>
      <c r="L75" t="n">
        <v>0</v>
      </c>
      <c r="M75" t="n">
        <v>0</v>
      </c>
      <c r="N75" t="n">
        <v>0</v>
      </c>
      <c r="O75" t="n">
        <v>0</v>
      </c>
      <c r="P75" t="n">
        <v>0</v>
      </c>
      <c r="Q75" t="n">
        <v>0</v>
      </c>
      <c r="R75" s="2" t="inlineStr"/>
    </row>
    <row r="76" ht="15" customHeight="1">
      <c r="A76" t="inlineStr">
        <is>
          <t>A 1180-2024</t>
        </is>
      </c>
      <c r="B76" s="1" t="n">
        <v>45302</v>
      </c>
      <c r="C76" s="1" t="n">
        <v>46025</v>
      </c>
      <c r="D76" t="inlineStr">
        <is>
          <t>STOCKHOLMS LÄN</t>
        </is>
      </c>
      <c r="E76" t="inlineStr">
        <is>
          <t>HANINGE</t>
        </is>
      </c>
      <c r="G76" t="n">
        <v>2</v>
      </c>
      <c r="H76" t="n">
        <v>0</v>
      </c>
      <c r="I76" t="n">
        <v>0</v>
      </c>
      <c r="J76" t="n">
        <v>0</v>
      </c>
      <c r="K76" t="n">
        <v>0</v>
      </c>
      <c r="L76" t="n">
        <v>0</v>
      </c>
      <c r="M76" t="n">
        <v>0</v>
      </c>
      <c r="N76" t="n">
        <v>0</v>
      </c>
      <c r="O76" t="n">
        <v>0</v>
      </c>
      <c r="P76" t="n">
        <v>0</v>
      </c>
      <c r="Q76" t="n">
        <v>0</v>
      </c>
      <c r="R76" s="2" t="inlineStr"/>
    </row>
    <row r="77" ht="15" customHeight="1">
      <c r="A77" t="inlineStr">
        <is>
          <t>A 1184-2024</t>
        </is>
      </c>
      <c r="B77" s="1" t="n">
        <v>45302.57663194444</v>
      </c>
      <c r="C77" s="1" t="n">
        <v>46025</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19220-2023</t>
        </is>
      </c>
      <c r="B78" s="1" t="n">
        <v>45048</v>
      </c>
      <c r="C78" s="1" t="n">
        <v>46025</v>
      </c>
      <c r="D78" t="inlineStr">
        <is>
          <t>STOCKHOLMS LÄN</t>
        </is>
      </c>
      <c r="E78" t="inlineStr">
        <is>
          <t>HANINGE</t>
        </is>
      </c>
      <c r="G78" t="n">
        <v>1.4</v>
      </c>
      <c r="H78" t="n">
        <v>0</v>
      </c>
      <c r="I78" t="n">
        <v>0</v>
      </c>
      <c r="J78" t="n">
        <v>0</v>
      </c>
      <c r="K78" t="n">
        <v>0</v>
      </c>
      <c r="L78" t="n">
        <v>0</v>
      </c>
      <c r="M78" t="n">
        <v>0</v>
      </c>
      <c r="N78" t="n">
        <v>0</v>
      </c>
      <c r="O78" t="n">
        <v>0</v>
      </c>
      <c r="P78" t="n">
        <v>0</v>
      </c>
      <c r="Q78" t="n">
        <v>0</v>
      </c>
      <c r="R78" s="2" t="inlineStr"/>
    </row>
    <row r="79" ht="15" customHeight="1">
      <c r="A79" t="inlineStr">
        <is>
          <t>A 18490-2025</t>
        </is>
      </c>
      <c r="B79" s="1" t="n">
        <v>45763</v>
      </c>
      <c r="C79" s="1" t="n">
        <v>46025</v>
      </c>
      <c r="D79" t="inlineStr">
        <is>
          <t>STOCKHOLMS LÄN</t>
        </is>
      </c>
      <c r="E79" t="inlineStr">
        <is>
          <t>HANINGE</t>
        </is>
      </c>
      <c r="G79" t="n">
        <v>3</v>
      </c>
      <c r="H79" t="n">
        <v>0</v>
      </c>
      <c r="I79" t="n">
        <v>0</v>
      </c>
      <c r="J79" t="n">
        <v>0</v>
      </c>
      <c r="K79" t="n">
        <v>0</v>
      </c>
      <c r="L79" t="n">
        <v>0</v>
      </c>
      <c r="M79" t="n">
        <v>0</v>
      </c>
      <c r="N79" t="n">
        <v>0</v>
      </c>
      <c r="O79" t="n">
        <v>0</v>
      </c>
      <c r="P79" t="n">
        <v>0</v>
      </c>
      <c r="Q79" t="n">
        <v>0</v>
      </c>
      <c r="R79" s="2" t="inlineStr"/>
    </row>
    <row r="80" ht="15" customHeight="1">
      <c r="A80" t="inlineStr">
        <is>
          <t>A 64568-2023</t>
        </is>
      </c>
      <c r="B80" s="1" t="n">
        <v>45281.43164351852</v>
      </c>
      <c r="C80" s="1" t="n">
        <v>46025</v>
      </c>
      <c r="D80" t="inlineStr">
        <is>
          <t>STOCKHOLMS LÄN</t>
        </is>
      </c>
      <c r="E80" t="inlineStr">
        <is>
          <t>HANINGE</t>
        </is>
      </c>
      <c r="G80" t="n">
        <v>3.1</v>
      </c>
      <c r="H80" t="n">
        <v>0</v>
      </c>
      <c r="I80" t="n">
        <v>0</v>
      </c>
      <c r="J80" t="n">
        <v>0</v>
      </c>
      <c r="K80" t="n">
        <v>0</v>
      </c>
      <c r="L80" t="n">
        <v>0</v>
      </c>
      <c r="M80" t="n">
        <v>0</v>
      </c>
      <c r="N80" t="n">
        <v>0</v>
      </c>
      <c r="O80" t="n">
        <v>0</v>
      </c>
      <c r="P80" t="n">
        <v>0</v>
      </c>
      <c r="Q80" t="n">
        <v>0</v>
      </c>
      <c r="R80" s="2" t="inlineStr"/>
    </row>
    <row r="81" ht="15" customHeight="1">
      <c r="A81" t="inlineStr">
        <is>
          <t>A 18548-2024</t>
        </is>
      </c>
      <c r="B81" s="1" t="n">
        <v>45425.64708333334</v>
      </c>
      <c r="C81" s="1" t="n">
        <v>46025</v>
      </c>
      <c r="D81" t="inlineStr">
        <is>
          <t>STOCKHOLMS LÄN</t>
        </is>
      </c>
      <c r="E81" t="inlineStr">
        <is>
          <t>HANINGE</t>
        </is>
      </c>
      <c r="F81" t="inlineStr">
        <is>
          <t>Kommuner</t>
        </is>
      </c>
      <c r="G81" t="n">
        <v>7.3</v>
      </c>
      <c r="H81" t="n">
        <v>0</v>
      </c>
      <c r="I81" t="n">
        <v>0</v>
      </c>
      <c r="J81" t="n">
        <v>0</v>
      </c>
      <c r="K81" t="n">
        <v>0</v>
      </c>
      <c r="L81" t="n">
        <v>0</v>
      </c>
      <c r="M81" t="n">
        <v>0</v>
      </c>
      <c r="N81" t="n">
        <v>0</v>
      </c>
      <c r="O81" t="n">
        <v>0</v>
      </c>
      <c r="P81" t="n">
        <v>0</v>
      </c>
      <c r="Q81" t="n">
        <v>0</v>
      </c>
      <c r="R81" s="2" t="inlineStr"/>
    </row>
    <row r="82" ht="15" customHeight="1">
      <c r="A82" t="inlineStr">
        <is>
          <t>A 41809-2021</t>
        </is>
      </c>
      <c r="B82" s="1" t="n">
        <v>44425</v>
      </c>
      <c r="C82" s="1" t="n">
        <v>46025</v>
      </c>
      <c r="D82" t="inlineStr">
        <is>
          <t>STOCKHOLMS LÄN</t>
        </is>
      </c>
      <c r="E82" t="inlineStr">
        <is>
          <t>HANINGE</t>
        </is>
      </c>
      <c r="G82" t="n">
        <v>0.9</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46025</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13046-2022</t>
        </is>
      </c>
      <c r="B84" s="1" t="n">
        <v>44643</v>
      </c>
      <c r="C84" s="1" t="n">
        <v>46025</v>
      </c>
      <c r="D84" t="inlineStr">
        <is>
          <t>STOCKHOLMS LÄN</t>
        </is>
      </c>
      <c r="E84" t="inlineStr">
        <is>
          <t>HANINGE</t>
        </is>
      </c>
      <c r="G84" t="n">
        <v>2.3</v>
      </c>
      <c r="H84" t="n">
        <v>0</v>
      </c>
      <c r="I84" t="n">
        <v>0</v>
      </c>
      <c r="J84" t="n">
        <v>0</v>
      </c>
      <c r="K84" t="n">
        <v>0</v>
      </c>
      <c r="L84" t="n">
        <v>0</v>
      </c>
      <c r="M84" t="n">
        <v>0</v>
      </c>
      <c r="N84" t="n">
        <v>0</v>
      </c>
      <c r="O84" t="n">
        <v>0</v>
      </c>
      <c r="P84" t="n">
        <v>0</v>
      </c>
      <c r="Q84" t="n">
        <v>0</v>
      </c>
      <c r="R84" s="2" t="inlineStr"/>
    </row>
    <row r="85" ht="15" customHeight="1">
      <c r="A85" t="inlineStr">
        <is>
          <t>A 8078-2024</t>
        </is>
      </c>
      <c r="B85" s="1" t="n">
        <v>45351.43737268518</v>
      </c>
      <c r="C85" s="1" t="n">
        <v>46025</v>
      </c>
      <c r="D85" t="inlineStr">
        <is>
          <t>STOCKHOLMS LÄN</t>
        </is>
      </c>
      <c r="E85" t="inlineStr">
        <is>
          <t>HANINGE</t>
        </is>
      </c>
      <c r="F85" t="inlineStr">
        <is>
          <t>Kommuner</t>
        </is>
      </c>
      <c r="G85" t="n">
        <v>1.4</v>
      </c>
      <c r="H85" t="n">
        <v>0</v>
      </c>
      <c r="I85" t="n">
        <v>0</v>
      </c>
      <c r="J85" t="n">
        <v>0</v>
      </c>
      <c r="K85" t="n">
        <v>0</v>
      </c>
      <c r="L85" t="n">
        <v>0</v>
      </c>
      <c r="M85" t="n">
        <v>0</v>
      </c>
      <c r="N85" t="n">
        <v>0</v>
      </c>
      <c r="O85" t="n">
        <v>0</v>
      </c>
      <c r="P85" t="n">
        <v>0</v>
      </c>
      <c r="Q85" t="n">
        <v>0</v>
      </c>
      <c r="R85" s="2" t="inlineStr"/>
    </row>
    <row r="86" ht="15" customHeight="1">
      <c r="A86" t="inlineStr">
        <is>
          <t>A 24873-2023</t>
        </is>
      </c>
      <c r="B86" s="1" t="n">
        <v>45085</v>
      </c>
      <c r="C86" s="1" t="n">
        <v>46025</v>
      </c>
      <c r="D86" t="inlineStr">
        <is>
          <t>STOCKHOLMS LÄN</t>
        </is>
      </c>
      <c r="E86" t="inlineStr">
        <is>
          <t>HANINGE</t>
        </is>
      </c>
      <c r="G86" t="n">
        <v>1.9</v>
      </c>
      <c r="H86" t="n">
        <v>0</v>
      </c>
      <c r="I86" t="n">
        <v>0</v>
      </c>
      <c r="J86" t="n">
        <v>0</v>
      </c>
      <c r="K86" t="n">
        <v>0</v>
      </c>
      <c r="L86" t="n">
        <v>0</v>
      </c>
      <c r="M86" t="n">
        <v>0</v>
      </c>
      <c r="N86" t="n">
        <v>0</v>
      </c>
      <c r="O86" t="n">
        <v>0</v>
      </c>
      <c r="P86" t="n">
        <v>0</v>
      </c>
      <c r="Q86" t="n">
        <v>0</v>
      </c>
      <c r="R86" s="2" t="inlineStr"/>
    </row>
    <row r="87" ht="15" customHeight="1">
      <c r="A87" t="inlineStr">
        <is>
          <t>A 52773-2024</t>
        </is>
      </c>
      <c r="B87" s="1" t="n">
        <v>45610.53207175926</v>
      </c>
      <c r="C87" s="1" t="n">
        <v>46025</v>
      </c>
      <c r="D87" t="inlineStr">
        <is>
          <t>STOCKHOLMS LÄN</t>
        </is>
      </c>
      <c r="E87" t="inlineStr">
        <is>
          <t>HANINGE</t>
        </is>
      </c>
      <c r="G87" t="n">
        <v>0.7</v>
      </c>
      <c r="H87" t="n">
        <v>0</v>
      </c>
      <c r="I87" t="n">
        <v>0</v>
      </c>
      <c r="J87" t="n">
        <v>0</v>
      </c>
      <c r="K87" t="n">
        <v>0</v>
      </c>
      <c r="L87" t="n">
        <v>0</v>
      </c>
      <c r="M87" t="n">
        <v>0</v>
      </c>
      <c r="N87" t="n">
        <v>0</v>
      </c>
      <c r="O87" t="n">
        <v>0</v>
      </c>
      <c r="P87" t="n">
        <v>0</v>
      </c>
      <c r="Q87" t="n">
        <v>0</v>
      </c>
      <c r="R87" s="2" t="inlineStr"/>
    </row>
    <row r="88" ht="15" customHeight="1">
      <c r="A88" t="inlineStr">
        <is>
          <t>A 23666-2024</t>
        </is>
      </c>
      <c r="B88" s="1" t="n">
        <v>45454.57909722222</v>
      </c>
      <c r="C88" s="1" t="n">
        <v>46025</v>
      </c>
      <c r="D88" t="inlineStr">
        <is>
          <t>STOCKHOLMS LÄN</t>
        </is>
      </c>
      <c r="E88" t="inlineStr">
        <is>
          <t>HANINGE</t>
        </is>
      </c>
      <c r="G88" t="n">
        <v>0.8</v>
      </c>
      <c r="H88" t="n">
        <v>0</v>
      </c>
      <c r="I88" t="n">
        <v>0</v>
      </c>
      <c r="J88" t="n">
        <v>0</v>
      </c>
      <c r="K88" t="n">
        <v>0</v>
      </c>
      <c r="L88" t="n">
        <v>0</v>
      </c>
      <c r="M88" t="n">
        <v>0</v>
      </c>
      <c r="N88" t="n">
        <v>0</v>
      </c>
      <c r="O88" t="n">
        <v>0</v>
      </c>
      <c r="P88" t="n">
        <v>0</v>
      </c>
      <c r="Q88" t="n">
        <v>0</v>
      </c>
      <c r="R88" s="2" t="inlineStr"/>
    </row>
    <row r="89" ht="15" customHeight="1">
      <c r="A89" t="inlineStr">
        <is>
          <t>A 9946-2024</t>
        </is>
      </c>
      <c r="B89" s="1" t="n">
        <v>45363.59789351852</v>
      </c>
      <c r="C89" s="1" t="n">
        <v>46025</v>
      </c>
      <c r="D89" t="inlineStr">
        <is>
          <t>STOCKHOLMS LÄN</t>
        </is>
      </c>
      <c r="E89" t="inlineStr">
        <is>
          <t>HANINGE</t>
        </is>
      </c>
      <c r="G89" t="n">
        <v>3.8</v>
      </c>
      <c r="H89" t="n">
        <v>0</v>
      </c>
      <c r="I89" t="n">
        <v>0</v>
      </c>
      <c r="J89" t="n">
        <v>0</v>
      </c>
      <c r="K89" t="n">
        <v>0</v>
      </c>
      <c r="L89" t="n">
        <v>0</v>
      </c>
      <c r="M89" t="n">
        <v>0</v>
      </c>
      <c r="N89" t="n">
        <v>0</v>
      </c>
      <c r="O89" t="n">
        <v>0</v>
      </c>
      <c r="P89" t="n">
        <v>0</v>
      </c>
      <c r="Q89" t="n">
        <v>0</v>
      </c>
      <c r="R89" s="2" t="inlineStr"/>
    </row>
    <row r="90" ht="15" customHeight="1">
      <c r="A90" t="inlineStr">
        <is>
          <t>A 52770-2024</t>
        </is>
      </c>
      <c r="B90" s="1" t="n">
        <v>45610.52414351852</v>
      </c>
      <c r="C90" s="1" t="n">
        <v>46025</v>
      </c>
      <c r="D90" t="inlineStr">
        <is>
          <t>STOCKHOLMS LÄN</t>
        </is>
      </c>
      <c r="E90" t="inlineStr">
        <is>
          <t>HANINGE</t>
        </is>
      </c>
      <c r="G90" t="n">
        <v>2.3</v>
      </c>
      <c r="H90" t="n">
        <v>0</v>
      </c>
      <c r="I90" t="n">
        <v>0</v>
      </c>
      <c r="J90" t="n">
        <v>0</v>
      </c>
      <c r="K90" t="n">
        <v>0</v>
      </c>
      <c r="L90" t="n">
        <v>0</v>
      </c>
      <c r="M90" t="n">
        <v>0</v>
      </c>
      <c r="N90" t="n">
        <v>0</v>
      </c>
      <c r="O90" t="n">
        <v>0</v>
      </c>
      <c r="P90" t="n">
        <v>0</v>
      </c>
      <c r="Q90" t="n">
        <v>0</v>
      </c>
      <c r="R90" s="2" t="inlineStr"/>
    </row>
    <row r="91" ht="15" customHeight="1">
      <c r="A91" t="inlineStr">
        <is>
          <t>A 52836-2024</t>
        </is>
      </c>
      <c r="B91" s="1" t="n">
        <v>45610.59637731482</v>
      </c>
      <c r="C91" s="1" t="n">
        <v>46025</v>
      </c>
      <c r="D91" t="inlineStr">
        <is>
          <t>STOCKHOLMS LÄN</t>
        </is>
      </c>
      <c r="E91" t="inlineStr">
        <is>
          <t>HANINGE</t>
        </is>
      </c>
      <c r="G91" t="n">
        <v>1</v>
      </c>
      <c r="H91" t="n">
        <v>0</v>
      </c>
      <c r="I91" t="n">
        <v>0</v>
      </c>
      <c r="J91" t="n">
        <v>0</v>
      </c>
      <c r="K91" t="n">
        <v>0</v>
      </c>
      <c r="L91" t="n">
        <v>0</v>
      </c>
      <c r="M91" t="n">
        <v>0</v>
      </c>
      <c r="N91" t="n">
        <v>0</v>
      </c>
      <c r="O91" t="n">
        <v>0</v>
      </c>
      <c r="P91" t="n">
        <v>0</v>
      </c>
      <c r="Q91" t="n">
        <v>0</v>
      </c>
      <c r="R91" s="2" t="inlineStr"/>
    </row>
    <row r="92" ht="15" customHeight="1">
      <c r="A92" t="inlineStr">
        <is>
          <t>A 5474-2024</t>
        </is>
      </c>
      <c r="B92" s="1" t="n">
        <v>45333.51131944444</v>
      </c>
      <c r="C92" s="1" t="n">
        <v>46025</v>
      </c>
      <c r="D92" t="inlineStr">
        <is>
          <t>STOCKHOLMS LÄN</t>
        </is>
      </c>
      <c r="E92" t="inlineStr">
        <is>
          <t>HANINGE</t>
        </is>
      </c>
      <c r="F92" t="inlineStr">
        <is>
          <t>Kommuner</t>
        </is>
      </c>
      <c r="G92" t="n">
        <v>0.9</v>
      </c>
      <c r="H92" t="n">
        <v>0</v>
      </c>
      <c r="I92" t="n">
        <v>0</v>
      </c>
      <c r="J92" t="n">
        <v>0</v>
      </c>
      <c r="K92" t="n">
        <v>0</v>
      </c>
      <c r="L92" t="n">
        <v>0</v>
      </c>
      <c r="M92" t="n">
        <v>0</v>
      </c>
      <c r="N92" t="n">
        <v>0</v>
      </c>
      <c r="O92" t="n">
        <v>0</v>
      </c>
      <c r="P92" t="n">
        <v>0</v>
      </c>
      <c r="Q92" t="n">
        <v>0</v>
      </c>
      <c r="R92" s="2" t="inlineStr"/>
    </row>
    <row r="93" ht="15" customHeight="1">
      <c r="A93" t="inlineStr">
        <is>
          <t>A 14900-2025</t>
        </is>
      </c>
      <c r="B93" s="1" t="n">
        <v>45743.48729166666</v>
      </c>
      <c r="C93" s="1" t="n">
        <v>46025</v>
      </c>
      <c r="D93" t="inlineStr">
        <is>
          <t>STOCKHOLMS LÄN</t>
        </is>
      </c>
      <c r="E93" t="inlineStr">
        <is>
          <t>HANINGE</t>
        </is>
      </c>
      <c r="G93" t="n">
        <v>4.5</v>
      </c>
      <c r="H93" t="n">
        <v>0</v>
      </c>
      <c r="I93" t="n">
        <v>0</v>
      </c>
      <c r="J93" t="n">
        <v>0</v>
      </c>
      <c r="K93" t="n">
        <v>0</v>
      </c>
      <c r="L93" t="n">
        <v>0</v>
      </c>
      <c r="M93" t="n">
        <v>0</v>
      </c>
      <c r="N93" t="n">
        <v>0</v>
      </c>
      <c r="O93" t="n">
        <v>0</v>
      </c>
      <c r="P93" t="n">
        <v>0</v>
      </c>
      <c r="Q93" t="n">
        <v>0</v>
      </c>
      <c r="R93" s="2" t="inlineStr"/>
    </row>
    <row r="94" ht="15" customHeight="1">
      <c r="A94" t="inlineStr">
        <is>
          <t>A 21231-2025</t>
        </is>
      </c>
      <c r="B94" s="1" t="n">
        <v>45779.54644675926</v>
      </c>
      <c r="C94" s="1" t="n">
        <v>46025</v>
      </c>
      <c r="D94" t="inlineStr">
        <is>
          <t>STOCKHOLMS LÄN</t>
        </is>
      </c>
      <c r="E94" t="inlineStr">
        <is>
          <t>HANINGE</t>
        </is>
      </c>
      <c r="G94" t="n">
        <v>4.3</v>
      </c>
      <c r="H94" t="n">
        <v>0</v>
      </c>
      <c r="I94" t="n">
        <v>0</v>
      </c>
      <c r="J94" t="n">
        <v>0</v>
      </c>
      <c r="K94" t="n">
        <v>0</v>
      </c>
      <c r="L94" t="n">
        <v>0</v>
      </c>
      <c r="M94" t="n">
        <v>0</v>
      </c>
      <c r="N94" t="n">
        <v>0</v>
      </c>
      <c r="O94" t="n">
        <v>0</v>
      </c>
      <c r="P94" t="n">
        <v>0</v>
      </c>
      <c r="Q94" t="n">
        <v>0</v>
      </c>
      <c r="R94" s="2" t="inlineStr"/>
    </row>
    <row r="95" ht="15" customHeight="1">
      <c r="A95" t="inlineStr">
        <is>
          <t>A 24115-2025</t>
        </is>
      </c>
      <c r="B95" s="1" t="n">
        <v>45796.61494212963</v>
      </c>
      <c r="C95" s="1" t="n">
        <v>46025</v>
      </c>
      <c r="D95" t="inlineStr">
        <is>
          <t>STOCKHOLMS LÄN</t>
        </is>
      </c>
      <c r="E95" t="inlineStr">
        <is>
          <t>HANINGE</t>
        </is>
      </c>
      <c r="G95" t="n">
        <v>2</v>
      </c>
      <c r="H95" t="n">
        <v>0</v>
      </c>
      <c r="I95" t="n">
        <v>0</v>
      </c>
      <c r="J95" t="n">
        <v>0</v>
      </c>
      <c r="K95" t="n">
        <v>0</v>
      </c>
      <c r="L95" t="n">
        <v>0</v>
      </c>
      <c r="M95" t="n">
        <v>0</v>
      </c>
      <c r="N95" t="n">
        <v>0</v>
      </c>
      <c r="O95" t="n">
        <v>0</v>
      </c>
      <c r="P95" t="n">
        <v>0</v>
      </c>
      <c r="Q95" t="n">
        <v>0</v>
      </c>
      <c r="R95" s="2" t="inlineStr"/>
    </row>
    <row r="96" ht="15" customHeight="1">
      <c r="A96" t="inlineStr">
        <is>
          <t>A 24191-2025</t>
        </is>
      </c>
      <c r="B96" s="1" t="n">
        <v>45796.86738425926</v>
      </c>
      <c r="C96" s="1" t="n">
        <v>46025</v>
      </c>
      <c r="D96" t="inlineStr">
        <is>
          <t>STOCKHOLMS LÄN</t>
        </is>
      </c>
      <c r="E96" t="inlineStr">
        <is>
          <t>HANINGE</t>
        </is>
      </c>
      <c r="G96" t="n">
        <v>2.8</v>
      </c>
      <c r="H96" t="n">
        <v>0</v>
      </c>
      <c r="I96" t="n">
        <v>0</v>
      </c>
      <c r="J96" t="n">
        <v>0</v>
      </c>
      <c r="K96" t="n">
        <v>0</v>
      </c>
      <c r="L96" t="n">
        <v>0</v>
      </c>
      <c r="M96" t="n">
        <v>0</v>
      </c>
      <c r="N96" t="n">
        <v>0</v>
      </c>
      <c r="O96" t="n">
        <v>0</v>
      </c>
      <c r="P96" t="n">
        <v>0</v>
      </c>
      <c r="Q96" t="n">
        <v>0</v>
      </c>
      <c r="R96" s="2" t="inlineStr"/>
    </row>
    <row r="97" ht="15" customHeight="1">
      <c r="A97" t="inlineStr">
        <is>
          <t>A 24193-2025</t>
        </is>
      </c>
      <c r="B97" s="1" t="n">
        <v>45796.89591435185</v>
      </c>
      <c r="C97" s="1" t="n">
        <v>46025</v>
      </c>
      <c r="D97" t="inlineStr">
        <is>
          <t>STOCKHOLMS LÄN</t>
        </is>
      </c>
      <c r="E97" t="inlineStr">
        <is>
          <t>HANINGE</t>
        </is>
      </c>
      <c r="G97" t="n">
        <v>0.4</v>
      </c>
      <c r="H97" t="n">
        <v>0</v>
      </c>
      <c r="I97" t="n">
        <v>0</v>
      </c>
      <c r="J97" t="n">
        <v>0</v>
      </c>
      <c r="K97" t="n">
        <v>0</v>
      </c>
      <c r="L97" t="n">
        <v>0</v>
      </c>
      <c r="M97" t="n">
        <v>0</v>
      </c>
      <c r="N97" t="n">
        <v>0</v>
      </c>
      <c r="O97" t="n">
        <v>0</v>
      </c>
      <c r="P97" t="n">
        <v>0</v>
      </c>
      <c r="Q97" t="n">
        <v>0</v>
      </c>
      <c r="R97" s="2" t="inlineStr"/>
    </row>
    <row r="98" ht="15" customHeight="1">
      <c r="A98" t="inlineStr">
        <is>
          <t>A 64075-2023</t>
        </is>
      </c>
      <c r="B98" s="1" t="n">
        <v>45279</v>
      </c>
      <c r="C98" s="1" t="n">
        <v>46025</v>
      </c>
      <c r="D98" t="inlineStr">
        <is>
          <t>STOCKHOLMS LÄN</t>
        </is>
      </c>
      <c r="E98" t="inlineStr">
        <is>
          <t>HANINGE</t>
        </is>
      </c>
      <c r="G98" t="n">
        <v>2.6</v>
      </c>
      <c r="H98" t="n">
        <v>0</v>
      </c>
      <c r="I98" t="n">
        <v>0</v>
      </c>
      <c r="J98" t="n">
        <v>0</v>
      </c>
      <c r="K98" t="n">
        <v>0</v>
      </c>
      <c r="L98" t="n">
        <v>0</v>
      </c>
      <c r="M98" t="n">
        <v>0</v>
      </c>
      <c r="N98" t="n">
        <v>0</v>
      </c>
      <c r="O98" t="n">
        <v>0</v>
      </c>
      <c r="P98" t="n">
        <v>0</v>
      </c>
      <c r="Q98" t="n">
        <v>0</v>
      </c>
      <c r="R98" s="2" t="inlineStr"/>
    </row>
    <row r="99">
      <c r="A99" t="inlineStr">
        <is>
          <t>A 27596-2025</t>
        </is>
      </c>
      <c r="B99" s="1" t="n">
        <v>45813.52303240741</v>
      </c>
      <c r="C99" s="1" t="n">
        <v>46025</v>
      </c>
      <c r="D99" t="inlineStr">
        <is>
          <t>STOCKHOLMS LÄN</t>
        </is>
      </c>
      <c r="E99" t="inlineStr">
        <is>
          <t>HANINGE</t>
        </is>
      </c>
      <c r="G99" t="n">
        <v>0.1</v>
      </c>
      <c r="H99" t="n">
        <v>0</v>
      </c>
      <c r="I99" t="n">
        <v>0</v>
      </c>
      <c r="J99" t="n">
        <v>0</v>
      </c>
      <c r="K99" t="n">
        <v>0</v>
      </c>
      <c r="L99" t="n">
        <v>0</v>
      </c>
      <c r="M99" t="n">
        <v>0</v>
      </c>
      <c r="N99" t="n">
        <v>0</v>
      </c>
      <c r="O99" t="n">
        <v>0</v>
      </c>
      <c r="P99" t="n">
        <v>0</v>
      </c>
      <c r="Q99" t="n">
        <v>0</v>
      </c>
      <c r="R9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2026-01-03T10:38:10Z</dcterms:created>
  <dcterms:modified xmlns:dcterms="http://purl.org/dc/terms/" xmlns:xsi="http://www.w3.org/2001/XMLSchema-instance" xsi:type="dcterms:W3CDTF">2026-01-03T10:38:10Z</dcterms:modified>
</cp:coreProperties>
</file>