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46011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46011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46011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46011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46011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46011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46011</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46011</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46011</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46011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46011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46011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46011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46011</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46011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46011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46011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46011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46011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46011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46011</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46011</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46011</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46011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46011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46011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46011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46011</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46011</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46011</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46011</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46011</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46011</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46011</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46011</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46011</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46011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46011</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46011</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46011</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46011</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46011</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46011</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46011</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46011</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46011</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46011</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46011</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46011</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46011</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46011</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68896-2021</t>
        </is>
      </c>
      <c r="B53" s="1" t="n">
        <v>44526</v>
      </c>
      <c r="C53" s="1" t="n">
        <v>46011</v>
      </c>
      <c r="D53" t="inlineStr">
        <is>
          <t>STOCKHOLMS LÄN</t>
        </is>
      </c>
      <c r="E53" t="inlineStr">
        <is>
          <t>HANINGE</t>
        </is>
      </c>
      <c r="G53" t="n">
        <v>3.4</v>
      </c>
      <c r="H53" t="n">
        <v>0</v>
      </c>
      <c r="I53" t="n">
        <v>0</v>
      </c>
      <c r="J53" t="n">
        <v>0</v>
      </c>
      <c r="K53" t="n">
        <v>0</v>
      </c>
      <c r="L53" t="n">
        <v>0</v>
      </c>
      <c r="M53" t="n">
        <v>0</v>
      </c>
      <c r="N53" t="n">
        <v>0</v>
      </c>
      <c r="O53" t="n">
        <v>0</v>
      </c>
      <c r="P53" t="n">
        <v>0</v>
      </c>
      <c r="Q53" t="n">
        <v>0</v>
      </c>
      <c r="R53" s="2" t="inlineStr"/>
    </row>
    <row r="54" ht="15" customHeight="1">
      <c r="A54" t="inlineStr">
        <is>
          <t>A 38880-2025</t>
        </is>
      </c>
      <c r="B54" s="1" t="n">
        <v>45887.57966435186</v>
      </c>
      <c r="C54" s="1" t="n">
        <v>46011</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8163-2024</t>
        </is>
      </c>
      <c r="B55" s="1" t="n">
        <v>45351.60337962963</v>
      </c>
      <c r="C55" s="1" t="n">
        <v>46011</v>
      </c>
      <c r="D55" t="inlineStr">
        <is>
          <t>STOCKHOLMS LÄN</t>
        </is>
      </c>
      <c r="E55" t="inlineStr">
        <is>
          <t>HANINGE</t>
        </is>
      </c>
      <c r="F55" t="inlineStr">
        <is>
          <t>Kommuner</t>
        </is>
      </c>
      <c r="G55" t="n">
        <v>3.8</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46011</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46011</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46011</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46011</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58599-2023</t>
        </is>
      </c>
      <c r="B60" s="1" t="n">
        <v>45251.47721064815</v>
      </c>
      <c r="C60" s="1" t="n">
        <v>46011</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46011</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46011</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46011</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46011</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46011</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46011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59568-2025</t>
        </is>
      </c>
      <c r="B67" s="1" t="n">
        <v>45991.90737268519</v>
      </c>
      <c r="C67" s="1" t="n">
        <v>46011</v>
      </c>
      <c r="D67" t="inlineStr">
        <is>
          <t>STOCKHOLMS LÄN</t>
        </is>
      </c>
      <c r="E67" t="inlineStr">
        <is>
          <t>HANINGE</t>
        </is>
      </c>
      <c r="G67" t="n">
        <v>5.8</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46011</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46011</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50306-2023</t>
        </is>
      </c>
      <c r="B70" s="1" t="n">
        <v>45209</v>
      </c>
      <c r="C70" s="1" t="n">
        <v>46011</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c r="U70">
        <f>HYPERLINK("https://klasma.github.io/Logging_0136/knärot/A 50306-2023 karta knärot.png", "A 50306-2023")</f>
        <v/>
      </c>
      <c r="V70">
        <f>HYPERLINK("https://klasma.github.io/Logging_0136/klagomål/A 50306-2023 FSC-klagomål.docx", "A 50306-2023")</f>
        <v/>
      </c>
      <c r="W70">
        <f>HYPERLINK("https://klasma.github.io/Logging_0136/klagomålsmail/A 50306-2023 FSC-klagomål mail.docx", "A 50306-2023")</f>
        <v/>
      </c>
      <c r="X70">
        <f>HYPERLINK("https://klasma.github.io/Logging_0136/tillsyn/A 50306-2023 tillsynsbegäran.docx", "A 50306-2023")</f>
        <v/>
      </c>
      <c r="Y70">
        <f>HYPERLINK("https://klasma.github.io/Logging_0136/tillsynsmail/A 50306-2023 tillsynsbegäran mail.docx", "A 50306-2023")</f>
        <v/>
      </c>
    </row>
    <row r="71" ht="15" customHeight="1">
      <c r="A71" t="inlineStr">
        <is>
          <t>A 22288-2023</t>
        </is>
      </c>
      <c r="B71" s="1" t="n">
        <v>45070</v>
      </c>
      <c r="C71" s="1" t="n">
        <v>46011</v>
      </c>
      <c r="D71" t="inlineStr">
        <is>
          <t>STOCKHOLMS LÄN</t>
        </is>
      </c>
      <c r="E71" t="inlineStr">
        <is>
          <t>HANINGE</t>
        </is>
      </c>
      <c r="G71" t="n">
        <v>2.8</v>
      </c>
      <c r="H71" t="n">
        <v>0</v>
      </c>
      <c r="I71" t="n">
        <v>0</v>
      </c>
      <c r="J71" t="n">
        <v>0</v>
      </c>
      <c r="K71" t="n">
        <v>0</v>
      </c>
      <c r="L71" t="n">
        <v>0</v>
      </c>
      <c r="M71" t="n">
        <v>0</v>
      </c>
      <c r="N71" t="n">
        <v>0</v>
      </c>
      <c r="O71" t="n">
        <v>0</v>
      </c>
      <c r="P71" t="n">
        <v>0</v>
      </c>
      <c r="Q71" t="n">
        <v>0</v>
      </c>
      <c r="R71" s="2" t="inlineStr"/>
    </row>
    <row r="72" ht="15" customHeight="1">
      <c r="A72" t="inlineStr">
        <is>
          <t>A 33792-2023</t>
        </is>
      </c>
      <c r="B72" s="1" t="n">
        <v>45121</v>
      </c>
      <c r="C72" s="1" t="n">
        <v>46011</v>
      </c>
      <c r="D72" t="inlineStr">
        <is>
          <t>STOCKHOLMS LÄN</t>
        </is>
      </c>
      <c r="E72" t="inlineStr">
        <is>
          <t>HANINGE</t>
        </is>
      </c>
      <c r="G72" t="n">
        <v>1.4</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46011</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46011</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4297-2024</t>
        </is>
      </c>
      <c r="B75" s="1" t="n">
        <v>45324.62291666667</v>
      </c>
      <c r="C75" s="1" t="n">
        <v>46011</v>
      </c>
      <c r="D75" t="inlineStr">
        <is>
          <t>STOCKHOLMS LÄN</t>
        </is>
      </c>
      <c r="E75" t="inlineStr">
        <is>
          <t>HANINGE</t>
        </is>
      </c>
      <c r="F75" t="inlineStr">
        <is>
          <t>Kommuner</t>
        </is>
      </c>
      <c r="G75" t="n">
        <v>0.4</v>
      </c>
      <c r="H75" t="n">
        <v>0</v>
      </c>
      <c r="I75" t="n">
        <v>0</v>
      </c>
      <c r="J75" t="n">
        <v>0</v>
      </c>
      <c r="K75" t="n">
        <v>0</v>
      </c>
      <c r="L75" t="n">
        <v>0</v>
      </c>
      <c r="M75" t="n">
        <v>0</v>
      </c>
      <c r="N75" t="n">
        <v>0</v>
      </c>
      <c r="O75" t="n">
        <v>0</v>
      </c>
      <c r="P75" t="n">
        <v>0</v>
      </c>
      <c r="Q75" t="n">
        <v>0</v>
      </c>
      <c r="R75" s="2" t="inlineStr"/>
    </row>
    <row r="76" ht="15" customHeight="1">
      <c r="A76" t="inlineStr">
        <is>
          <t>A 1703-2023</t>
        </is>
      </c>
      <c r="B76" s="1" t="n">
        <v>44938.44412037037</v>
      </c>
      <c r="C76" s="1" t="n">
        <v>46011</v>
      </c>
      <c r="D76" t="inlineStr">
        <is>
          <t>STOCKHOLMS LÄN</t>
        </is>
      </c>
      <c r="E76" t="inlineStr">
        <is>
          <t>HANINGE</t>
        </is>
      </c>
      <c r="G76" t="n">
        <v>1.8</v>
      </c>
      <c r="H76" t="n">
        <v>0</v>
      </c>
      <c r="I76" t="n">
        <v>0</v>
      </c>
      <c r="J76" t="n">
        <v>0</v>
      </c>
      <c r="K76" t="n">
        <v>0</v>
      </c>
      <c r="L76" t="n">
        <v>0</v>
      </c>
      <c r="M76" t="n">
        <v>0</v>
      </c>
      <c r="N76" t="n">
        <v>0</v>
      </c>
      <c r="O76" t="n">
        <v>0</v>
      </c>
      <c r="P76" t="n">
        <v>0</v>
      </c>
      <c r="Q76" t="n">
        <v>0</v>
      </c>
      <c r="R76" s="2" t="inlineStr"/>
    </row>
    <row r="77" ht="15" customHeight="1">
      <c r="A77" t="inlineStr">
        <is>
          <t>A 17765-2024</t>
        </is>
      </c>
      <c r="B77" s="1" t="n">
        <v>45418.63149305555</v>
      </c>
      <c r="C77" s="1" t="n">
        <v>46011</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46011</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20527-2025</t>
        </is>
      </c>
      <c r="B79" s="1" t="n">
        <v>45775.60663194444</v>
      </c>
      <c r="C79" s="1" t="n">
        <v>46011</v>
      </c>
      <c r="D79" t="inlineStr">
        <is>
          <t>STOCKHOLMS LÄN</t>
        </is>
      </c>
      <c r="E79" t="inlineStr">
        <is>
          <t>HANINGE</t>
        </is>
      </c>
      <c r="G79" t="n">
        <v>2.1</v>
      </c>
      <c r="H79" t="n">
        <v>0</v>
      </c>
      <c r="I79" t="n">
        <v>0</v>
      </c>
      <c r="J79" t="n">
        <v>0</v>
      </c>
      <c r="K79" t="n">
        <v>0</v>
      </c>
      <c r="L79" t="n">
        <v>0</v>
      </c>
      <c r="M79" t="n">
        <v>0</v>
      </c>
      <c r="N79" t="n">
        <v>0</v>
      </c>
      <c r="O79" t="n">
        <v>0</v>
      </c>
      <c r="P79" t="n">
        <v>0</v>
      </c>
      <c r="Q79" t="n">
        <v>0</v>
      </c>
      <c r="R79" s="2" t="inlineStr"/>
    </row>
    <row r="80" ht="15" customHeight="1">
      <c r="A80" t="inlineStr">
        <is>
          <t>A 1187-2024</t>
        </is>
      </c>
      <c r="B80" s="1" t="n">
        <v>45302.58045138889</v>
      </c>
      <c r="C80" s="1" t="n">
        <v>46011</v>
      </c>
      <c r="D80" t="inlineStr">
        <is>
          <t>STOCKHOLMS LÄN</t>
        </is>
      </c>
      <c r="E80" t="inlineStr">
        <is>
          <t>HANINGE</t>
        </is>
      </c>
      <c r="G80" t="n">
        <v>1.5</v>
      </c>
      <c r="H80" t="n">
        <v>0</v>
      </c>
      <c r="I80" t="n">
        <v>0</v>
      </c>
      <c r="J80" t="n">
        <v>0</v>
      </c>
      <c r="K80" t="n">
        <v>0</v>
      </c>
      <c r="L80" t="n">
        <v>0</v>
      </c>
      <c r="M80" t="n">
        <v>0</v>
      </c>
      <c r="N80" t="n">
        <v>0</v>
      </c>
      <c r="O80" t="n">
        <v>0</v>
      </c>
      <c r="P80" t="n">
        <v>0</v>
      </c>
      <c r="Q80" t="n">
        <v>0</v>
      </c>
      <c r="R80" s="2" t="inlineStr"/>
    </row>
    <row r="81" ht="15" customHeight="1">
      <c r="A81" t="inlineStr">
        <is>
          <t>A 1180-2024</t>
        </is>
      </c>
      <c r="B81" s="1" t="n">
        <v>45302</v>
      </c>
      <c r="C81" s="1" t="n">
        <v>46011</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46011</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46011</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18490-2025</t>
        </is>
      </c>
      <c r="B84" s="1" t="n">
        <v>45763</v>
      </c>
      <c r="C84" s="1" t="n">
        <v>46011</v>
      </c>
      <c r="D84" t="inlineStr">
        <is>
          <t>STOCKHOLMS LÄN</t>
        </is>
      </c>
      <c r="E84" t="inlineStr">
        <is>
          <t>HANINGE</t>
        </is>
      </c>
      <c r="G84" t="n">
        <v>3</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46011</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18548-2024</t>
        </is>
      </c>
      <c r="B86" s="1" t="n">
        <v>45425.64708333334</v>
      </c>
      <c r="C86" s="1" t="n">
        <v>46011</v>
      </c>
      <c r="D86" t="inlineStr">
        <is>
          <t>STOCKHOLMS LÄN</t>
        </is>
      </c>
      <c r="E86" t="inlineStr">
        <is>
          <t>HANINGE</t>
        </is>
      </c>
      <c r="F86" t="inlineStr">
        <is>
          <t>Kommuner</t>
        </is>
      </c>
      <c r="G86" t="n">
        <v>7.3</v>
      </c>
      <c r="H86" t="n">
        <v>0</v>
      </c>
      <c r="I86" t="n">
        <v>0</v>
      </c>
      <c r="J86" t="n">
        <v>0</v>
      </c>
      <c r="K86" t="n">
        <v>0</v>
      </c>
      <c r="L86" t="n">
        <v>0</v>
      </c>
      <c r="M86" t="n">
        <v>0</v>
      </c>
      <c r="N86" t="n">
        <v>0</v>
      </c>
      <c r="O86" t="n">
        <v>0</v>
      </c>
      <c r="P86" t="n">
        <v>0</v>
      </c>
      <c r="Q86" t="n">
        <v>0</v>
      </c>
      <c r="R86" s="2" t="inlineStr"/>
    </row>
    <row r="87" ht="15" customHeight="1">
      <c r="A87" t="inlineStr">
        <is>
          <t>A 41809-2021</t>
        </is>
      </c>
      <c r="B87" s="1" t="n">
        <v>44425</v>
      </c>
      <c r="C87" s="1" t="n">
        <v>46011</v>
      </c>
      <c r="D87" t="inlineStr">
        <is>
          <t>STOCKHOLMS LÄN</t>
        </is>
      </c>
      <c r="E87" t="inlineStr">
        <is>
          <t>HANINGE</t>
        </is>
      </c>
      <c r="G87" t="n">
        <v>0.9</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46011</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13046-2022</t>
        </is>
      </c>
      <c r="B89" s="1" t="n">
        <v>44643</v>
      </c>
      <c r="C89" s="1" t="n">
        <v>46011</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46011</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24873-2023</t>
        </is>
      </c>
      <c r="B91" s="1" t="n">
        <v>45085</v>
      </c>
      <c r="C91" s="1" t="n">
        <v>46011</v>
      </c>
      <c r="D91" t="inlineStr">
        <is>
          <t>STOCKHOLMS LÄN</t>
        </is>
      </c>
      <c r="E91" t="inlineStr">
        <is>
          <t>HANINGE</t>
        </is>
      </c>
      <c r="G91" t="n">
        <v>1.9</v>
      </c>
      <c r="H91" t="n">
        <v>0</v>
      </c>
      <c r="I91" t="n">
        <v>0</v>
      </c>
      <c r="J91" t="n">
        <v>0</v>
      </c>
      <c r="K91" t="n">
        <v>0</v>
      </c>
      <c r="L91" t="n">
        <v>0</v>
      </c>
      <c r="M91" t="n">
        <v>0</v>
      </c>
      <c r="N91" t="n">
        <v>0</v>
      </c>
      <c r="O91" t="n">
        <v>0</v>
      </c>
      <c r="P91" t="n">
        <v>0</v>
      </c>
      <c r="Q91" t="n">
        <v>0</v>
      </c>
      <c r="R91" s="2" t="inlineStr"/>
    </row>
    <row r="92" ht="15" customHeight="1">
      <c r="A92" t="inlineStr">
        <is>
          <t>A 52773-2024</t>
        </is>
      </c>
      <c r="B92" s="1" t="n">
        <v>45610.53207175926</v>
      </c>
      <c r="C92" s="1" t="n">
        <v>46011</v>
      </c>
      <c r="D92" t="inlineStr">
        <is>
          <t>STOCKHOLMS LÄN</t>
        </is>
      </c>
      <c r="E92" t="inlineStr">
        <is>
          <t>HANINGE</t>
        </is>
      </c>
      <c r="G92" t="n">
        <v>0.7</v>
      </c>
      <c r="H92" t="n">
        <v>0</v>
      </c>
      <c r="I92" t="n">
        <v>0</v>
      </c>
      <c r="J92" t="n">
        <v>0</v>
      </c>
      <c r="K92" t="n">
        <v>0</v>
      </c>
      <c r="L92" t="n">
        <v>0</v>
      </c>
      <c r="M92" t="n">
        <v>0</v>
      </c>
      <c r="N92" t="n">
        <v>0</v>
      </c>
      <c r="O92" t="n">
        <v>0</v>
      </c>
      <c r="P92" t="n">
        <v>0</v>
      </c>
      <c r="Q92" t="n">
        <v>0</v>
      </c>
      <c r="R92" s="2" t="inlineStr"/>
    </row>
    <row r="93" ht="15" customHeight="1">
      <c r="A93" t="inlineStr">
        <is>
          <t>A 23666-2024</t>
        </is>
      </c>
      <c r="B93" s="1" t="n">
        <v>45454.57909722222</v>
      </c>
      <c r="C93" s="1" t="n">
        <v>46011</v>
      </c>
      <c r="D93" t="inlineStr">
        <is>
          <t>STOCKHOLMS LÄN</t>
        </is>
      </c>
      <c r="E93" t="inlineStr">
        <is>
          <t>HANINGE</t>
        </is>
      </c>
      <c r="G93" t="n">
        <v>0.8</v>
      </c>
      <c r="H93" t="n">
        <v>0</v>
      </c>
      <c r="I93" t="n">
        <v>0</v>
      </c>
      <c r="J93" t="n">
        <v>0</v>
      </c>
      <c r="K93" t="n">
        <v>0</v>
      </c>
      <c r="L93" t="n">
        <v>0</v>
      </c>
      <c r="M93" t="n">
        <v>0</v>
      </c>
      <c r="N93" t="n">
        <v>0</v>
      </c>
      <c r="O93" t="n">
        <v>0</v>
      </c>
      <c r="P93" t="n">
        <v>0</v>
      </c>
      <c r="Q93" t="n">
        <v>0</v>
      </c>
      <c r="R93" s="2" t="inlineStr"/>
    </row>
    <row r="94" ht="15" customHeight="1">
      <c r="A94" t="inlineStr">
        <is>
          <t>A 9946-2024</t>
        </is>
      </c>
      <c r="B94" s="1" t="n">
        <v>45363.59789351852</v>
      </c>
      <c r="C94" s="1" t="n">
        <v>46011</v>
      </c>
      <c r="D94" t="inlineStr">
        <is>
          <t>STOCKHOLMS LÄN</t>
        </is>
      </c>
      <c r="E94" t="inlineStr">
        <is>
          <t>HANINGE</t>
        </is>
      </c>
      <c r="G94" t="n">
        <v>3.8</v>
      </c>
      <c r="H94" t="n">
        <v>0</v>
      </c>
      <c r="I94" t="n">
        <v>0</v>
      </c>
      <c r="J94" t="n">
        <v>0</v>
      </c>
      <c r="K94" t="n">
        <v>0</v>
      </c>
      <c r="L94" t="n">
        <v>0</v>
      </c>
      <c r="M94" t="n">
        <v>0</v>
      </c>
      <c r="N94" t="n">
        <v>0</v>
      </c>
      <c r="O94" t="n">
        <v>0</v>
      </c>
      <c r="P94" t="n">
        <v>0</v>
      </c>
      <c r="Q94" t="n">
        <v>0</v>
      </c>
      <c r="R94" s="2" t="inlineStr"/>
    </row>
    <row r="95" ht="15" customHeight="1">
      <c r="A95" t="inlineStr">
        <is>
          <t>A 52770-2024</t>
        </is>
      </c>
      <c r="B95" s="1" t="n">
        <v>45610.52414351852</v>
      </c>
      <c r="C95" s="1" t="n">
        <v>46011</v>
      </c>
      <c r="D95" t="inlineStr">
        <is>
          <t>STOCKHOLMS LÄN</t>
        </is>
      </c>
      <c r="E95" t="inlineStr">
        <is>
          <t>HANINGE</t>
        </is>
      </c>
      <c r="G95" t="n">
        <v>2.3</v>
      </c>
      <c r="H95" t="n">
        <v>0</v>
      </c>
      <c r="I95" t="n">
        <v>0</v>
      </c>
      <c r="J95" t="n">
        <v>0</v>
      </c>
      <c r="K95" t="n">
        <v>0</v>
      </c>
      <c r="L95" t="n">
        <v>0</v>
      </c>
      <c r="M95" t="n">
        <v>0</v>
      </c>
      <c r="N95" t="n">
        <v>0</v>
      </c>
      <c r="O95" t="n">
        <v>0</v>
      </c>
      <c r="P95" t="n">
        <v>0</v>
      </c>
      <c r="Q95" t="n">
        <v>0</v>
      </c>
      <c r="R95" s="2" t="inlineStr"/>
    </row>
    <row r="96" ht="15" customHeight="1">
      <c r="A96" t="inlineStr">
        <is>
          <t>A 52836-2024</t>
        </is>
      </c>
      <c r="B96" s="1" t="n">
        <v>45610.59637731482</v>
      </c>
      <c r="C96" s="1" t="n">
        <v>46011</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46011</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14900-2025</t>
        </is>
      </c>
      <c r="B98" s="1" t="n">
        <v>45743.48729166666</v>
      </c>
      <c r="C98" s="1" t="n">
        <v>46011</v>
      </c>
      <c r="D98" t="inlineStr">
        <is>
          <t>STOCKHOLMS LÄN</t>
        </is>
      </c>
      <c r="E98" t="inlineStr">
        <is>
          <t>HANINGE</t>
        </is>
      </c>
      <c r="G98" t="n">
        <v>4.5</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46011</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2025-12-20T14:05:59Z</dcterms:created>
  <dcterms:modified xmlns:dcterms="http://purl.org/dc/terms/" xmlns:xsi="http://www.w3.org/2001/XMLSchema-instance" xsi:type="dcterms:W3CDTF">2025-12-20T14:05:59Z</dcterms:modified>
</cp:coreProperties>
</file>