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45759</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45759</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45759</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45759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45759</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45759</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45759</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45759</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45759</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45759</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45759</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45759</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45759</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45759</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45759</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45759</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45759</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45759</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45759</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45759</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45759</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45759</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45759</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45759</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45759</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45759</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45759</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45759</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45759</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45759</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45759</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45759</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45759</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45759</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45759</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45759</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29513-2019</t>
        </is>
      </c>
      <c r="B38" s="1" t="n">
        <v>43627</v>
      </c>
      <c r="C38" s="1" t="n">
        <v>45759</v>
      </c>
      <c r="D38" t="inlineStr">
        <is>
          <t>STOCKHOLMS LÄN</t>
        </is>
      </c>
      <c r="E38" t="inlineStr">
        <is>
          <t>HANINGE</t>
        </is>
      </c>
      <c r="G38" t="n">
        <v>2.1</v>
      </c>
      <c r="H38" t="n">
        <v>1</v>
      </c>
      <c r="I38" t="n">
        <v>0</v>
      </c>
      <c r="J38" t="n">
        <v>1</v>
      </c>
      <c r="K38" t="n">
        <v>0</v>
      </c>
      <c r="L38" t="n">
        <v>0</v>
      </c>
      <c r="M38" t="n">
        <v>0</v>
      </c>
      <c r="N38" t="n">
        <v>0</v>
      </c>
      <c r="O38" t="n">
        <v>1</v>
      </c>
      <c r="P38" t="n">
        <v>0</v>
      </c>
      <c r="Q38" t="n">
        <v>1</v>
      </c>
      <c r="R38" s="2" t="inlineStr">
        <is>
          <t>Spillkråka</t>
        </is>
      </c>
      <c r="S38">
        <f>HYPERLINK("https://klasma.github.io/Logging_0136/artfynd/A 29513-2019 artfynd.xlsx", "A 29513-2019")</f>
        <v/>
      </c>
      <c r="T38">
        <f>HYPERLINK("https://klasma.github.io/Logging_0136/kartor/A 29513-2019 karta.png", "A 29513-2019")</f>
        <v/>
      </c>
      <c r="V38">
        <f>HYPERLINK("https://klasma.github.io/Logging_0136/klagomål/A 29513-2019 FSC-klagomål.docx", "A 29513-2019")</f>
        <v/>
      </c>
      <c r="W38">
        <f>HYPERLINK("https://klasma.github.io/Logging_0136/klagomålsmail/A 29513-2019 FSC-klagomål mail.docx", "A 29513-2019")</f>
        <v/>
      </c>
      <c r="X38">
        <f>HYPERLINK("https://klasma.github.io/Logging_0136/tillsyn/A 29513-2019 tillsynsbegäran.docx", "A 29513-2019")</f>
        <v/>
      </c>
      <c r="Y38">
        <f>HYPERLINK("https://klasma.github.io/Logging_0136/tillsynsmail/A 29513-2019 tillsynsbegäran mail.docx", "A 29513-2019")</f>
        <v/>
      </c>
      <c r="Z38">
        <f>HYPERLINK("https://klasma.github.io/Logging_0136/fåglar/A 29513-2019 prioriterade fågelarter.docx", "A 29513-2019")</f>
        <v/>
      </c>
    </row>
    <row r="39" ht="15" customHeight="1">
      <c r="A39" t="inlineStr">
        <is>
          <t>A 15312-2020</t>
        </is>
      </c>
      <c r="B39" s="1" t="n">
        <v>43913</v>
      </c>
      <c r="C39" s="1" t="n">
        <v>45759</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45759</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45759</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45759</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45759</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45759</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45759</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45759</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45759</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45759</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45759</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HYPERLINK("https://klasma.github.io/Logging_010136/artfynd/A 13939-2025 artfynd.xlsx", "A 13939-2025")</f>
        <v/>
      </c>
      <c r="T49">
        <f>HYPERLINK("https://klasma.github.io/Logging_010136/kartor/A 13939-2025 karta.png", "A 13939-2025")</f>
        <v/>
      </c>
      <c r="V49">
        <f>HYPERLINK("https://klasma.github.io/Logging_010136/klagomål/A 13939-2025 FSC-klagomål.docx", "A 13939-2025")</f>
        <v/>
      </c>
      <c r="W49">
        <f>HYPERLINK("https://klasma.github.io/Logging_010136/klagomålsmail/A 13939-2025 FSC-klagomål mail.docx", "A 13939-2025")</f>
        <v/>
      </c>
      <c r="X49">
        <f>HYPERLINK("https://klasma.github.io/Logging_010136/tillsyn/A 13939-2025 tillsynsbegäran.docx", "A 13939-2025")</f>
        <v/>
      </c>
      <c r="Y49">
        <f>HYPERLINK("https://klasma.github.io/Logging_010136/tillsynsmail/A 13939-2025 tillsynsbegäran mail.docx", "A 13939-2025")</f>
        <v/>
      </c>
    </row>
    <row r="50" ht="15" customHeight="1">
      <c r="A50" t="inlineStr">
        <is>
          <t>A 34656-2019</t>
        </is>
      </c>
      <c r="B50" s="1" t="n">
        <v>43657</v>
      </c>
      <c r="C50" s="1" t="n">
        <v>45759</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45759</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45759</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45759</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45759</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45759</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45759</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45759</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45759</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45759</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45759</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45759</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45759</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45759</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45759</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45759</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45759</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45759</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45759</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45759</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45759</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45759</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45759</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45759</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45759</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45759</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45759</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45759</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45759</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45759</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45759</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45759</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45759</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45759</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45759</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45759</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45759</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45759</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45759</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45759</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45759</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45759</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45759</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45759</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45759</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45759</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45759</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45759</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45759</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45759</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45759</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45759</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45759</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45759</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45759</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45759</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45759</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45759</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45759</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45759</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45759</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45759</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45759</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45759</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45759</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45759</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45759</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45759</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45759</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45759</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45759</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45759</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45759</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45759</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45759</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45759</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45759</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45759</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45759</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45759</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45759</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45759</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45759</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45759</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45759</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45759</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45759</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45759</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45759</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45759</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45759</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45759</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45759</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45759</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45759</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45759</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45759</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45759</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45759</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45759</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14258-2025</t>
        </is>
      </c>
      <c r="B150" s="1" t="n">
        <v>45740</v>
      </c>
      <c r="C150" s="1" t="n">
        <v>45759</v>
      </c>
      <c r="D150" t="inlineStr">
        <is>
          <t>STOCKHOLMS LÄN</t>
        </is>
      </c>
      <c r="E150" t="inlineStr">
        <is>
          <t>HANINGE</t>
        </is>
      </c>
      <c r="G150" t="n">
        <v>3.7</v>
      </c>
      <c r="H150" t="n">
        <v>0</v>
      </c>
      <c r="I150" t="n">
        <v>0</v>
      </c>
      <c r="J150" t="n">
        <v>0</v>
      </c>
      <c r="K150" t="n">
        <v>0</v>
      </c>
      <c r="L150" t="n">
        <v>0</v>
      </c>
      <c r="M150" t="n">
        <v>0</v>
      </c>
      <c r="N150" t="n">
        <v>0</v>
      </c>
      <c r="O150" t="n">
        <v>0</v>
      </c>
      <c r="P150" t="n">
        <v>0</v>
      </c>
      <c r="Q150" t="n">
        <v>0</v>
      </c>
      <c r="R150" s="2" t="inlineStr"/>
    </row>
    <row r="151" ht="15" customHeight="1">
      <c r="A151" t="inlineStr">
        <is>
          <t>A 14270-2025</t>
        </is>
      </c>
      <c r="B151" s="1" t="n">
        <v>45740</v>
      </c>
      <c r="C151" s="1" t="n">
        <v>45759</v>
      </c>
      <c r="D151" t="inlineStr">
        <is>
          <t>STOCKHOLMS LÄN</t>
        </is>
      </c>
      <c r="E151" t="inlineStr">
        <is>
          <t>HANINGE</t>
        </is>
      </c>
      <c r="G151" t="n">
        <v>4</v>
      </c>
      <c r="H151" t="n">
        <v>0</v>
      </c>
      <c r="I151" t="n">
        <v>0</v>
      </c>
      <c r="J151" t="n">
        <v>0</v>
      </c>
      <c r="K151" t="n">
        <v>0</v>
      </c>
      <c r="L151" t="n">
        <v>0</v>
      </c>
      <c r="M151" t="n">
        <v>0</v>
      </c>
      <c r="N151" t="n">
        <v>0</v>
      </c>
      <c r="O151" t="n">
        <v>0</v>
      </c>
      <c r="P151" t="n">
        <v>0</v>
      </c>
      <c r="Q151" t="n">
        <v>0</v>
      </c>
      <c r="R151" s="2" t="inlineStr"/>
    </row>
    <row r="152" ht="15" customHeight="1">
      <c r="A152" t="inlineStr">
        <is>
          <t>A 14278-2025</t>
        </is>
      </c>
      <c r="B152" s="1" t="n">
        <v>45740</v>
      </c>
      <c r="C152" s="1" t="n">
        <v>45759</v>
      </c>
      <c r="D152" t="inlineStr">
        <is>
          <t>STOCKHOLMS LÄN</t>
        </is>
      </c>
      <c r="E152" t="inlineStr">
        <is>
          <t>HANINGE</t>
        </is>
      </c>
      <c r="G152" t="n">
        <v>1.5</v>
      </c>
      <c r="H152" t="n">
        <v>0</v>
      </c>
      <c r="I152" t="n">
        <v>0</v>
      </c>
      <c r="J152" t="n">
        <v>0</v>
      </c>
      <c r="K152" t="n">
        <v>0</v>
      </c>
      <c r="L152" t="n">
        <v>0</v>
      </c>
      <c r="M152" t="n">
        <v>0</v>
      </c>
      <c r="N152" t="n">
        <v>0</v>
      </c>
      <c r="O152" t="n">
        <v>0</v>
      </c>
      <c r="P152" t="n">
        <v>0</v>
      </c>
      <c r="Q152" t="n">
        <v>0</v>
      </c>
      <c r="R152" s="2" t="inlineStr"/>
    </row>
    <row r="153" ht="15" customHeight="1">
      <c r="A153" t="inlineStr">
        <is>
          <t>A 14264-2025</t>
        </is>
      </c>
      <c r="B153" s="1" t="n">
        <v>45740</v>
      </c>
      <c r="C153" s="1" t="n">
        <v>45759</v>
      </c>
      <c r="D153" t="inlineStr">
        <is>
          <t>STOCKHOLMS LÄN</t>
        </is>
      </c>
      <c r="E153" t="inlineStr">
        <is>
          <t>HANINGE</t>
        </is>
      </c>
      <c r="G153" t="n">
        <v>1</v>
      </c>
      <c r="H153" t="n">
        <v>0</v>
      </c>
      <c r="I153" t="n">
        <v>0</v>
      </c>
      <c r="J153" t="n">
        <v>0</v>
      </c>
      <c r="K153" t="n">
        <v>0</v>
      </c>
      <c r="L153" t="n">
        <v>0</v>
      </c>
      <c r="M153" t="n">
        <v>0</v>
      </c>
      <c r="N153" t="n">
        <v>0</v>
      </c>
      <c r="O153" t="n">
        <v>0</v>
      </c>
      <c r="P153" t="n">
        <v>0</v>
      </c>
      <c r="Q153" t="n">
        <v>0</v>
      </c>
      <c r="R153" s="2" t="inlineStr"/>
    </row>
    <row r="154" ht="15" customHeight="1">
      <c r="A154" t="inlineStr">
        <is>
          <t>A 14189-2025</t>
        </is>
      </c>
      <c r="B154" s="1" t="n">
        <v>45740</v>
      </c>
      <c r="C154" s="1" t="n">
        <v>45759</v>
      </c>
      <c r="D154" t="inlineStr">
        <is>
          <t>STOCKHOLMS LÄN</t>
        </is>
      </c>
      <c r="E154" t="inlineStr">
        <is>
          <t>HANINGE</t>
        </is>
      </c>
      <c r="G154" t="n">
        <v>4.1</v>
      </c>
      <c r="H154" t="n">
        <v>0</v>
      </c>
      <c r="I154" t="n">
        <v>0</v>
      </c>
      <c r="J154" t="n">
        <v>0</v>
      </c>
      <c r="K154" t="n">
        <v>0</v>
      </c>
      <c r="L154" t="n">
        <v>0</v>
      </c>
      <c r="M154" t="n">
        <v>0</v>
      </c>
      <c r="N154" t="n">
        <v>0</v>
      </c>
      <c r="O154" t="n">
        <v>0</v>
      </c>
      <c r="P154" t="n">
        <v>0</v>
      </c>
      <c r="Q154" t="n">
        <v>0</v>
      </c>
      <c r="R154" s="2" t="inlineStr"/>
    </row>
    <row r="155" ht="15" customHeight="1">
      <c r="A155" t="inlineStr">
        <is>
          <t>A 14191-2025</t>
        </is>
      </c>
      <c r="B155" s="1" t="n">
        <v>45740</v>
      </c>
      <c r="C155" s="1" t="n">
        <v>45759</v>
      </c>
      <c r="D155" t="inlineStr">
        <is>
          <t>STOCKHOLMS LÄN</t>
        </is>
      </c>
      <c r="E155" t="inlineStr">
        <is>
          <t>HANINGE</t>
        </is>
      </c>
      <c r="G155" t="n">
        <v>2.1</v>
      </c>
      <c r="H155" t="n">
        <v>0</v>
      </c>
      <c r="I155" t="n">
        <v>0</v>
      </c>
      <c r="J155" t="n">
        <v>0</v>
      </c>
      <c r="K155" t="n">
        <v>0</v>
      </c>
      <c r="L155" t="n">
        <v>0</v>
      </c>
      <c r="M155" t="n">
        <v>0</v>
      </c>
      <c r="N155" t="n">
        <v>0</v>
      </c>
      <c r="O155" t="n">
        <v>0</v>
      </c>
      <c r="P155" t="n">
        <v>0</v>
      </c>
      <c r="Q155" t="n">
        <v>0</v>
      </c>
      <c r="R155" s="2" t="inlineStr"/>
    </row>
    <row r="156">
      <c r="A156" t="inlineStr">
        <is>
          <t>A 14900-2025</t>
        </is>
      </c>
      <c r="B156" s="1" t="n">
        <v>45743</v>
      </c>
      <c r="C156" s="1" t="n">
        <v>45759</v>
      </c>
      <c r="D156" t="inlineStr">
        <is>
          <t>STOCKHOLMS LÄN</t>
        </is>
      </c>
      <c r="E156" t="inlineStr">
        <is>
          <t>HANINGE</t>
        </is>
      </c>
      <c r="G156" t="n">
        <v>4.5</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2025-04-12T16:22:51Z</dcterms:created>
  <dcterms:modified xmlns:dcterms="http://purl.org/dc/terms/" xmlns:xsi="http://www.w3.org/2001/XMLSchema-instance" xsi:type="dcterms:W3CDTF">2025-04-12T16:22:51Z</dcterms:modified>
</cp:coreProperties>
</file>