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45994</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45994</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45994</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45994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45994</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20507-2025</t>
        </is>
      </c>
      <c r="B13" s="1" t="n">
        <v>45775.59121527777</v>
      </c>
      <c r="C13" s="1" t="n">
        <v>45994</v>
      </c>
      <c r="D13" t="inlineStr">
        <is>
          <t>STOCKHOLMS LÄN</t>
        </is>
      </c>
      <c r="E13" t="inlineStr">
        <is>
          <t>HANINGE</t>
        </is>
      </c>
      <c r="G13" t="n">
        <v>1.2</v>
      </c>
      <c r="H13" t="n">
        <v>1</v>
      </c>
      <c r="I13" t="n">
        <v>1</v>
      </c>
      <c r="J13" t="n">
        <v>0</v>
      </c>
      <c r="K13" t="n">
        <v>0</v>
      </c>
      <c r="L13" t="n">
        <v>0</v>
      </c>
      <c r="M13" t="n">
        <v>0</v>
      </c>
      <c r="N13" t="n">
        <v>0</v>
      </c>
      <c r="O13" t="n">
        <v>0</v>
      </c>
      <c r="P13" t="n">
        <v>0</v>
      </c>
      <c r="Q13" t="n">
        <v>2</v>
      </c>
      <c r="R13" s="2" t="inlineStr">
        <is>
          <t>Brandticka
Revlummer</t>
        </is>
      </c>
      <c r="S13">
        <f>HYPERLINK("https://klasma.github.io/Logging_0136/artfynd/A 20507-2025 artfynd.xlsx", "A 20507-2025")</f>
        <v/>
      </c>
      <c r="T13">
        <f>HYPERLINK("https://klasma.github.io/Logging_0136/kartor/A 20507-2025 karta.png", "A 20507-2025")</f>
        <v/>
      </c>
      <c r="V13">
        <f>HYPERLINK("https://klasma.github.io/Logging_0136/klagomål/A 20507-2025 FSC-klagomål.docx", "A 20507-2025")</f>
        <v/>
      </c>
      <c r="W13">
        <f>HYPERLINK("https://klasma.github.io/Logging_0136/klagomålsmail/A 20507-2025 FSC-klagomål mail.docx", "A 20507-2025")</f>
        <v/>
      </c>
      <c r="X13">
        <f>HYPERLINK("https://klasma.github.io/Logging_0136/tillsyn/A 20507-2025 tillsynsbegäran.docx", "A 20507-2025")</f>
        <v/>
      </c>
      <c r="Y13">
        <f>HYPERLINK("https://klasma.github.io/Logging_0136/tillsynsmail/A 20507-2025 tillsynsbegäran mail.docx", "A 20507-2025")</f>
        <v/>
      </c>
    </row>
    <row r="14" ht="15" customHeight="1">
      <c r="A14" t="inlineStr">
        <is>
          <t>A 24189-2025</t>
        </is>
      </c>
      <c r="B14" s="1" t="n">
        <v>45796.84584490741</v>
      </c>
      <c r="C14" s="1" t="n">
        <v>45994</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45994</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59566-2025</t>
        </is>
      </c>
      <c r="B16" s="1" t="n">
        <v>45991.89199074074</v>
      </c>
      <c r="C16" s="1" t="n">
        <v>45994</v>
      </c>
      <c r="D16" t="inlineStr">
        <is>
          <t>STOCKHOLMS LÄN</t>
        </is>
      </c>
      <c r="E16" t="inlineStr">
        <is>
          <t>HANINGE</t>
        </is>
      </c>
      <c r="G16" t="n">
        <v>2.6</v>
      </c>
      <c r="H16" t="n">
        <v>2</v>
      </c>
      <c r="I16" t="n">
        <v>0</v>
      </c>
      <c r="J16" t="n">
        <v>0</v>
      </c>
      <c r="K16" t="n">
        <v>0</v>
      </c>
      <c r="L16" t="n">
        <v>0</v>
      </c>
      <c r="M16" t="n">
        <v>0</v>
      </c>
      <c r="N16" t="n">
        <v>0</v>
      </c>
      <c r="O16" t="n">
        <v>0</v>
      </c>
      <c r="P16" t="n">
        <v>0</v>
      </c>
      <c r="Q16" t="n">
        <v>2</v>
      </c>
      <c r="R16" s="2" t="inlineStr">
        <is>
          <t>Kopparödla
Skogsödla</t>
        </is>
      </c>
      <c r="S16">
        <f>HYPERLINK("https://klasma.github.io/Logging_0136/artfynd/A 59566-2025 artfynd.xlsx", "A 59566-2025")</f>
        <v/>
      </c>
      <c r="T16">
        <f>HYPERLINK("https://klasma.github.io/Logging_0136/kartor/A 59566-2025 karta.png", "A 59566-2025")</f>
        <v/>
      </c>
      <c r="V16">
        <f>HYPERLINK("https://klasma.github.io/Logging_0136/klagomål/A 59566-2025 FSC-klagomål.docx", "A 59566-2025")</f>
        <v/>
      </c>
      <c r="W16">
        <f>HYPERLINK("https://klasma.github.io/Logging_0136/klagomålsmail/A 59566-2025 FSC-klagomål mail.docx", "A 59566-2025")</f>
        <v/>
      </c>
      <c r="X16">
        <f>HYPERLINK("https://klasma.github.io/Logging_0136/tillsyn/A 59566-2025 tillsynsbegäran.docx", "A 59566-2025")</f>
        <v/>
      </c>
      <c r="Y16">
        <f>HYPERLINK("https://klasma.github.io/Logging_0136/tillsynsmail/A 59566-2025 tillsynsbegäran mail.docx", "A 59566-2025")</f>
        <v/>
      </c>
    </row>
    <row r="17" ht="15" customHeight="1">
      <c r="A17" t="inlineStr">
        <is>
          <t>A 59567-2025</t>
        </is>
      </c>
      <c r="B17" s="1" t="n">
        <v>45991.89914351852</v>
      </c>
      <c r="C17" s="1" t="n">
        <v>45994</v>
      </c>
      <c r="D17" t="inlineStr">
        <is>
          <t>STOCKHOLMS LÄN</t>
        </is>
      </c>
      <c r="E17" t="inlineStr">
        <is>
          <t>HANINGE</t>
        </is>
      </c>
      <c r="G17" t="n">
        <v>6.6</v>
      </c>
      <c r="H17" t="n">
        <v>0</v>
      </c>
      <c r="I17" t="n">
        <v>1</v>
      </c>
      <c r="J17" t="n">
        <v>1</v>
      </c>
      <c r="K17" t="n">
        <v>0</v>
      </c>
      <c r="L17" t="n">
        <v>0</v>
      </c>
      <c r="M17" t="n">
        <v>0</v>
      </c>
      <c r="N17" t="n">
        <v>0</v>
      </c>
      <c r="O17" t="n">
        <v>1</v>
      </c>
      <c r="P17" t="n">
        <v>0</v>
      </c>
      <c r="Q17" t="n">
        <v>2</v>
      </c>
      <c r="R17" s="2" t="inlineStr">
        <is>
          <t>Tallticka
Grovticka</t>
        </is>
      </c>
      <c r="S17">
        <f>HYPERLINK("https://klasma.github.io/Logging_0136/artfynd/A 59567-2025 artfynd.xlsx", "A 59567-2025")</f>
        <v/>
      </c>
      <c r="T17">
        <f>HYPERLINK("https://klasma.github.io/Logging_0136/kartor/A 59567-2025 karta.png", "A 59567-2025")</f>
        <v/>
      </c>
      <c r="V17">
        <f>HYPERLINK("https://klasma.github.io/Logging_0136/klagomål/A 59567-2025 FSC-klagomål.docx", "A 59567-2025")</f>
        <v/>
      </c>
      <c r="W17">
        <f>HYPERLINK("https://klasma.github.io/Logging_0136/klagomålsmail/A 59567-2025 FSC-klagomål mail.docx", "A 59567-2025")</f>
        <v/>
      </c>
      <c r="X17">
        <f>HYPERLINK("https://klasma.github.io/Logging_0136/tillsyn/A 59567-2025 tillsynsbegäran.docx", "A 59567-2025")</f>
        <v/>
      </c>
      <c r="Y17">
        <f>HYPERLINK("https://klasma.github.io/Logging_0136/tillsynsmail/A 59567-2025 tillsynsbegäran mail.docx", "A 59567-2025")</f>
        <v/>
      </c>
    </row>
    <row r="18" ht="15" customHeight="1">
      <c r="A18" t="inlineStr">
        <is>
          <t>A 1424-2021</t>
        </is>
      </c>
      <c r="B18" s="1" t="n">
        <v>44208</v>
      </c>
      <c r="C18" s="1" t="n">
        <v>45994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45994</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45994</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45994</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59570-2025</t>
        </is>
      </c>
      <c r="B25" s="1" t="n">
        <v>45991.93646990741</v>
      </c>
      <c r="C25" s="1" t="n">
        <v>45994</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45994</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45994</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45994</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45994</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45994</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45994</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45994</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45994</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45994</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45994</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45994</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45994</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45994</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45994</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45994</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55853-2021</t>
        </is>
      </c>
      <c r="B43" s="1" t="n">
        <v>44476</v>
      </c>
      <c r="C43" s="1" t="n">
        <v>45994</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55861-2021</t>
        </is>
      </c>
      <c r="B44" s="1" t="n">
        <v>44476</v>
      </c>
      <c r="C44" s="1" t="n">
        <v>45994</v>
      </c>
      <c r="D44" t="inlineStr">
        <is>
          <t>STOCKHOLMS LÄN</t>
        </is>
      </c>
      <c r="E44" t="inlineStr">
        <is>
          <t>HANINGE</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19652-2022</t>
        </is>
      </c>
      <c r="B45" s="1" t="n">
        <v>44694</v>
      </c>
      <c r="C45" s="1" t="n">
        <v>45994</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45994</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45395-2021</t>
        </is>
      </c>
      <c r="B47" s="1" t="n">
        <v>44440</v>
      </c>
      <c r="C47" s="1" t="n">
        <v>45994</v>
      </c>
      <c r="D47" t="inlineStr">
        <is>
          <t>STOCKHOLMS LÄN</t>
        </is>
      </c>
      <c r="E47" t="inlineStr">
        <is>
          <t>HANINGE</t>
        </is>
      </c>
      <c r="F47" t="inlineStr">
        <is>
          <t>Övriga statliga verk och myndigheter</t>
        </is>
      </c>
      <c r="G47" t="n">
        <v>3.5</v>
      </c>
      <c r="H47" t="n">
        <v>0</v>
      </c>
      <c r="I47" t="n">
        <v>0</v>
      </c>
      <c r="J47" t="n">
        <v>0</v>
      </c>
      <c r="K47" t="n">
        <v>0</v>
      </c>
      <c r="L47" t="n">
        <v>0</v>
      </c>
      <c r="M47" t="n">
        <v>0</v>
      </c>
      <c r="N47" t="n">
        <v>0</v>
      </c>
      <c r="O47" t="n">
        <v>0</v>
      </c>
      <c r="P47" t="n">
        <v>0</v>
      </c>
      <c r="Q47" t="n">
        <v>0</v>
      </c>
      <c r="R47" s="2" t="inlineStr"/>
    </row>
    <row r="48" ht="15" customHeight="1">
      <c r="A48" t="inlineStr">
        <is>
          <t>A 37000-2022</t>
        </is>
      </c>
      <c r="B48" s="1" t="n">
        <v>44806</v>
      </c>
      <c r="C48" s="1" t="n">
        <v>45994</v>
      </c>
      <c r="D48" t="inlineStr">
        <is>
          <t>STOCKHOLMS LÄN</t>
        </is>
      </c>
      <c r="E48" t="inlineStr">
        <is>
          <t>HANINGE</t>
        </is>
      </c>
      <c r="F48" t="inlineStr">
        <is>
          <t>Övriga statliga verk och myndigheter</t>
        </is>
      </c>
      <c r="G48" t="n">
        <v>2</v>
      </c>
      <c r="H48" t="n">
        <v>0</v>
      </c>
      <c r="I48" t="n">
        <v>0</v>
      </c>
      <c r="J48" t="n">
        <v>0</v>
      </c>
      <c r="K48" t="n">
        <v>0</v>
      </c>
      <c r="L48" t="n">
        <v>0</v>
      </c>
      <c r="M48" t="n">
        <v>0</v>
      </c>
      <c r="N48" t="n">
        <v>0</v>
      </c>
      <c r="O48" t="n">
        <v>0</v>
      </c>
      <c r="P48" t="n">
        <v>0</v>
      </c>
      <c r="Q48" t="n">
        <v>0</v>
      </c>
      <c r="R48" s="2" t="inlineStr"/>
    </row>
    <row r="49" ht="15" customHeight="1">
      <c r="A49" t="inlineStr">
        <is>
          <t>A 4297-2024</t>
        </is>
      </c>
      <c r="B49" s="1" t="n">
        <v>45324.62291666667</v>
      </c>
      <c r="C49" s="1" t="n">
        <v>45994</v>
      </c>
      <c r="D49" t="inlineStr">
        <is>
          <t>STOCKHOLMS LÄN</t>
        </is>
      </c>
      <c r="E49" t="inlineStr">
        <is>
          <t>HANINGE</t>
        </is>
      </c>
      <c r="F49" t="inlineStr">
        <is>
          <t>Kommuner</t>
        </is>
      </c>
      <c r="G49" t="n">
        <v>0.4</v>
      </c>
      <c r="H49" t="n">
        <v>0</v>
      </c>
      <c r="I49" t="n">
        <v>0</v>
      </c>
      <c r="J49" t="n">
        <v>0</v>
      </c>
      <c r="K49" t="n">
        <v>0</v>
      </c>
      <c r="L49" t="n">
        <v>0</v>
      </c>
      <c r="M49" t="n">
        <v>0</v>
      </c>
      <c r="N49" t="n">
        <v>0</v>
      </c>
      <c r="O49" t="n">
        <v>0</v>
      </c>
      <c r="P49" t="n">
        <v>0</v>
      </c>
      <c r="Q49" t="n">
        <v>0</v>
      </c>
      <c r="R49" s="2" t="inlineStr"/>
    </row>
    <row r="50" ht="15" customHeight="1">
      <c r="A50" t="inlineStr">
        <is>
          <t>A 18512-2024</t>
        </is>
      </c>
      <c r="B50" s="1" t="n">
        <v>45425.59938657407</v>
      </c>
      <c r="C50" s="1" t="n">
        <v>45994</v>
      </c>
      <c r="D50" t="inlineStr">
        <is>
          <t>STOCKHOLMS LÄN</t>
        </is>
      </c>
      <c r="E50" t="inlineStr">
        <is>
          <t>HANINGE</t>
        </is>
      </c>
      <c r="F50" t="inlineStr">
        <is>
          <t>Kommuner</t>
        </is>
      </c>
      <c r="G50" t="n">
        <v>0.7</v>
      </c>
      <c r="H50" t="n">
        <v>0</v>
      </c>
      <c r="I50" t="n">
        <v>0</v>
      </c>
      <c r="J50" t="n">
        <v>0</v>
      </c>
      <c r="K50" t="n">
        <v>0</v>
      </c>
      <c r="L50" t="n">
        <v>0</v>
      </c>
      <c r="M50" t="n">
        <v>0</v>
      </c>
      <c r="N50" t="n">
        <v>0</v>
      </c>
      <c r="O50" t="n">
        <v>0</v>
      </c>
      <c r="P50" t="n">
        <v>0</v>
      </c>
      <c r="Q50" t="n">
        <v>0</v>
      </c>
      <c r="R50" s="2" t="inlineStr"/>
    </row>
    <row r="51" ht="15" customHeight="1">
      <c r="A51" t="inlineStr">
        <is>
          <t>A 58599-2023</t>
        </is>
      </c>
      <c r="B51" s="1" t="n">
        <v>45251.47721064815</v>
      </c>
      <c r="C51" s="1" t="n">
        <v>45994</v>
      </c>
      <c r="D51" t="inlineStr">
        <is>
          <t>STOCKHOLMS LÄN</t>
        </is>
      </c>
      <c r="E51" t="inlineStr">
        <is>
          <t>HANINGE</t>
        </is>
      </c>
      <c r="G51" t="n">
        <v>3.2</v>
      </c>
      <c r="H51" t="n">
        <v>0</v>
      </c>
      <c r="I51" t="n">
        <v>0</v>
      </c>
      <c r="J51" t="n">
        <v>0</v>
      </c>
      <c r="K51" t="n">
        <v>0</v>
      </c>
      <c r="L51" t="n">
        <v>0</v>
      </c>
      <c r="M51" t="n">
        <v>0</v>
      </c>
      <c r="N51" t="n">
        <v>0</v>
      </c>
      <c r="O51" t="n">
        <v>0</v>
      </c>
      <c r="P51" t="n">
        <v>0</v>
      </c>
      <c r="Q51" t="n">
        <v>0</v>
      </c>
      <c r="R51" s="2" t="inlineStr"/>
    </row>
    <row r="52" ht="15" customHeight="1">
      <c r="A52" t="inlineStr">
        <is>
          <t>A 9946-2024</t>
        </is>
      </c>
      <c r="B52" s="1" t="n">
        <v>45363.59789351852</v>
      </c>
      <c r="C52" s="1" t="n">
        <v>45994</v>
      </c>
      <c r="D52" t="inlineStr">
        <is>
          <t>STOCKHOLMS LÄN</t>
        </is>
      </c>
      <c r="E52" t="inlineStr">
        <is>
          <t>HANINGE</t>
        </is>
      </c>
      <c r="G52" t="n">
        <v>3.8</v>
      </c>
      <c r="H52" t="n">
        <v>0</v>
      </c>
      <c r="I52" t="n">
        <v>0</v>
      </c>
      <c r="J52" t="n">
        <v>0</v>
      </c>
      <c r="K52" t="n">
        <v>0</v>
      </c>
      <c r="L52" t="n">
        <v>0</v>
      </c>
      <c r="M52" t="n">
        <v>0</v>
      </c>
      <c r="N52" t="n">
        <v>0</v>
      </c>
      <c r="O52" t="n">
        <v>0</v>
      </c>
      <c r="P52" t="n">
        <v>0</v>
      </c>
      <c r="Q52" t="n">
        <v>0</v>
      </c>
      <c r="R52" s="2" t="inlineStr"/>
    </row>
    <row r="53" ht="15" customHeight="1">
      <c r="A53" t="inlineStr">
        <is>
          <t>A 1184-2024</t>
        </is>
      </c>
      <c r="B53" s="1" t="n">
        <v>45302.57663194444</v>
      </c>
      <c r="C53" s="1" t="n">
        <v>45994</v>
      </c>
      <c r="D53" t="inlineStr">
        <is>
          <t>STOCKHOLMS LÄN</t>
        </is>
      </c>
      <c r="E53" t="inlineStr">
        <is>
          <t>HANINGE</t>
        </is>
      </c>
      <c r="G53" t="n">
        <v>3.6</v>
      </c>
      <c r="H53" t="n">
        <v>0</v>
      </c>
      <c r="I53" t="n">
        <v>0</v>
      </c>
      <c r="J53" t="n">
        <v>0</v>
      </c>
      <c r="K53" t="n">
        <v>0</v>
      </c>
      <c r="L53" t="n">
        <v>0</v>
      </c>
      <c r="M53" t="n">
        <v>0</v>
      </c>
      <c r="N53" t="n">
        <v>0</v>
      </c>
      <c r="O53" t="n">
        <v>0</v>
      </c>
      <c r="P53" t="n">
        <v>0</v>
      </c>
      <c r="Q53" t="n">
        <v>0</v>
      </c>
      <c r="R53" s="2" t="inlineStr"/>
    </row>
    <row r="54" ht="15" customHeight="1">
      <c r="A54" t="inlineStr">
        <is>
          <t>A 52836-2024</t>
        </is>
      </c>
      <c r="B54" s="1" t="n">
        <v>45610.59637731482</v>
      </c>
      <c r="C54" s="1" t="n">
        <v>45994</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52770-2024</t>
        </is>
      </c>
      <c r="B55" s="1" t="n">
        <v>45610.52414351852</v>
      </c>
      <c r="C55" s="1" t="n">
        <v>45994</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8078-2024</t>
        </is>
      </c>
      <c r="B56" s="1" t="n">
        <v>45351.43737268518</v>
      </c>
      <c r="C56" s="1" t="n">
        <v>45994</v>
      </c>
      <c r="D56" t="inlineStr">
        <is>
          <t>STOCKHOLMS LÄN</t>
        </is>
      </c>
      <c r="E56" t="inlineStr">
        <is>
          <t>HANINGE</t>
        </is>
      </c>
      <c r="F56" t="inlineStr">
        <is>
          <t>Kommuner</t>
        </is>
      </c>
      <c r="G56" t="n">
        <v>1.4</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45994</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13046-2022</t>
        </is>
      </c>
      <c r="B58" s="1" t="n">
        <v>44643</v>
      </c>
      <c r="C58" s="1" t="n">
        <v>45994</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21231-2025</t>
        </is>
      </c>
      <c r="B59" s="1" t="n">
        <v>45779.54644675926</v>
      </c>
      <c r="C59" s="1" t="n">
        <v>45994</v>
      </c>
      <c r="D59" t="inlineStr">
        <is>
          <t>STOCKHOLMS LÄN</t>
        </is>
      </c>
      <c r="E59" t="inlineStr">
        <is>
          <t>HANINGE</t>
        </is>
      </c>
      <c r="G59" t="n">
        <v>4.3</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45994</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18528-2024</t>
        </is>
      </c>
      <c r="B61" s="1" t="n">
        <v>45425.61965277778</v>
      </c>
      <c r="C61" s="1" t="n">
        <v>45994</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19220-2023</t>
        </is>
      </c>
      <c r="B62" s="1" t="n">
        <v>45048</v>
      </c>
      <c r="C62" s="1" t="n">
        <v>45994</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45994</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25584-2023</t>
        </is>
      </c>
      <c r="B64" s="1" t="n">
        <v>45089</v>
      </c>
      <c r="C64" s="1" t="n">
        <v>45994</v>
      </c>
      <c r="D64" t="inlineStr">
        <is>
          <t>STOCKHOLMS LÄN</t>
        </is>
      </c>
      <c r="E64" t="inlineStr">
        <is>
          <t>HANINGE</t>
        </is>
      </c>
      <c r="G64" t="n">
        <v>4.8</v>
      </c>
      <c r="H64" t="n">
        <v>0</v>
      </c>
      <c r="I64" t="n">
        <v>0</v>
      </c>
      <c r="J64" t="n">
        <v>0</v>
      </c>
      <c r="K64" t="n">
        <v>0</v>
      </c>
      <c r="L64" t="n">
        <v>0</v>
      </c>
      <c r="M64" t="n">
        <v>0</v>
      </c>
      <c r="N64" t="n">
        <v>0</v>
      </c>
      <c r="O64" t="n">
        <v>0</v>
      </c>
      <c r="P64" t="n">
        <v>0</v>
      </c>
      <c r="Q64" t="n">
        <v>0</v>
      </c>
      <c r="R64" s="2" t="inlineStr"/>
    </row>
    <row r="65" ht="15" customHeight="1">
      <c r="A65" t="inlineStr">
        <is>
          <t>A 22288-2023</t>
        </is>
      </c>
      <c r="B65" s="1" t="n">
        <v>45070</v>
      </c>
      <c r="C65" s="1" t="n">
        <v>45994</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3156-2025</t>
        </is>
      </c>
      <c r="B66" s="1" t="n">
        <v>45679.32142361111</v>
      </c>
      <c r="C66" s="1" t="n">
        <v>45994</v>
      </c>
      <c r="D66" t="inlineStr">
        <is>
          <t>STOCKHOLMS LÄN</t>
        </is>
      </c>
      <c r="E66" t="inlineStr">
        <is>
          <t>HANINGE</t>
        </is>
      </c>
      <c r="G66" t="n">
        <v>3.3</v>
      </c>
      <c r="H66" t="n">
        <v>0</v>
      </c>
      <c r="I66" t="n">
        <v>0</v>
      </c>
      <c r="J66" t="n">
        <v>0</v>
      </c>
      <c r="K66" t="n">
        <v>0</v>
      </c>
      <c r="L66" t="n">
        <v>0</v>
      </c>
      <c r="M66" t="n">
        <v>0</v>
      </c>
      <c r="N66" t="n">
        <v>0</v>
      </c>
      <c r="O66" t="n">
        <v>0</v>
      </c>
      <c r="P66" t="n">
        <v>0</v>
      </c>
      <c r="Q66" t="n">
        <v>0</v>
      </c>
      <c r="R66" s="2" t="inlineStr"/>
    </row>
    <row r="67" ht="15" customHeight="1">
      <c r="A67" t="inlineStr">
        <is>
          <t>A 18490-2025</t>
        </is>
      </c>
      <c r="B67" s="1" t="n">
        <v>45763</v>
      </c>
      <c r="C67" s="1" t="n">
        <v>45994</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45994</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18548-2024</t>
        </is>
      </c>
      <c r="B69" s="1" t="n">
        <v>45425.64708333334</v>
      </c>
      <c r="C69" s="1" t="n">
        <v>45994</v>
      </c>
      <c r="D69" t="inlineStr">
        <is>
          <t>STOCKHOLMS LÄN</t>
        </is>
      </c>
      <c r="E69" t="inlineStr">
        <is>
          <t>HANINGE</t>
        </is>
      </c>
      <c r="F69" t="inlineStr">
        <is>
          <t>Kommuner</t>
        </is>
      </c>
      <c r="G69" t="n">
        <v>7.3</v>
      </c>
      <c r="H69" t="n">
        <v>0</v>
      </c>
      <c r="I69" t="n">
        <v>0</v>
      </c>
      <c r="J69" t="n">
        <v>0</v>
      </c>
      <c r="K69" t="n">
        <v>0</v>
      </c>
      <c r="L69" t="n">
        <v>0</v>
      </c>
      <c r="M69" t="n">
        <v>0</v>
      </c>
      <c r="N69" t="n">
        <v>0</v>
      </c>
      <c r="O69" t="n">
        <v>0</v>
      </c>
      <c r="P69" t="n">
        <v>0</v>
      </c>
      <c r="Q69" t="n">
        <v>0</v>
      </c>
      <c r="R69" s="2" t="inlineStr"/>
    </row>
    <row r="70" ht="15" customHeight="1">
      <c r="A70" t="inlineStr">
        <is>
          <t>A 17765-2024</t>
        </is>
      </c>
      <c r="B70" s="1" t="n">
        <v>45418.63149305555</v>
      </c>
      <c r="C70" s="1" t="n">
        <v>45994</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20839-2024</t>
        </is>
      </c>
      <c r="B71" s="1" t="n">
        <v>45439.39953703704</v>
      </c>
      <c r="C71" s="1" t="n">
        <v>45994</v>
      </c>
      <c r="D71" t="inlineStr">
        <is>
          <t>STOCKHOLMS LÄN</t>
        </is>
      </c>
      <c r="E71" t="inlineStr">
        <is>
          <t>HANINGE</t>
        </is>
      </c>
      <c r="G71" t="n">
        <v>8.4</v>
      </c>
      <c r="H71" t="n">
        <v>0</v>
      </c>
      <c r="I71" t="n">
        <v>0</v>
      </c>
      <c r="J71" t="n">
        <v>0</v>
      </c>
      <c r="K71" t="n">
        <v>0</v>
      </c>
      <c r="L71" t="n">
        <v>0</v>
      </c>
      <c r="M71" t="n">
        <v>0</v>
      </c>
      <c r="N71" t="n">
        <v>0</v>
      </c>
      <c r="O71" t="n">
        <v>0</v>
      </c>
      <c r="P71" t="n">
        <v>0</v>
      </c>
      <c r="Q71" t="n">
        <v>0</v>
      </c>
      <c r="R71" s="2" t="inlineStr"/>
    </row>
    <row r="72" ht="15" customHeight="1">
      <c r="A72" t="inlineStr">
        <is>
          <t>A 5474-2024</t>
        </is>
      </c>
      <c r="B72" s="1" t="n">
        <v>45333.51131944444</v>
      </c>
      <c r="C72" s="1" t="n">
        <v>45994</v>
      </c>
      <c r="D72" t="inlineStr">
        <is>
          <t>STOCKHOLMS LÄN</t>
        </is>
      </c>
      <c r="E72" t="inlineStr">
        <is>
          <t>HANINGE</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23666-2024</t>
        </is>
      </c>
      <c r="B73" s="1" t="n">
        <v>45454.57909722222</v>
      </c>
      <c r="C73" s="1" t="n">
        <v>45994</v>
      </c>
      <c r="D73" t="inlineStr">
        <is>
          <t>STOCKHOLMS LÄN</t>
        </is>
      </c>
      <c r="E73" t="inlineStr">
        <is>
          <t>HANINGE</t>
        </is>
      </c>
      <c r="G73" t="n">
        <v>0.8</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45994</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38880-2025</t>
        </is>
      </c>
      <c r="B75" s="1" t="n">
        <v>45887.57966435186</v>
      </c>
      <c r="C75" s="1" t="n">
        <v>45994</v>
      </c>
      <c r="D75" t="inlineStr">
        <is>
          <t>STOCKHOLMS LÄN</t>
        </is>
      </c>
      <c r="E75" t="inlineStr">
        <is>
          <t>HANINGE</t>
        </is>
      </c>
      <c r="G75" t="n">
        <v>3.2</v>
      </c>
      <c r="H75" t="n">
        <v>0</v>
      </c>
      <c r="I75" t="n">
        <v>0</v>
      </c>
      <c r="J75" t="n">
        <v>0</v>
      </c>
      <c r="K75" t="n">
        <v>0</v>
      </c>
      <c r="L75" t="n">
        <v>0</v>
      </c>
      <c r="M75" t="n">
        <v>0</v>
      </c>
      <c r="N75" t="n">
        <v>0</v>
      </c>
      <c r="O75" t="n">
        <v>0</v>
      </c>
      <c r="P75" t="n">
        <v>0</v>
      </c>
      <c r="Q75" t="n">
        <v>0</v>
      </c>
      <c r="R75" s="2" t="inlineStr"/>
    </row>
    <row r="76" ht="15" customHeight="1">
      <c r="A76" t="inlineStr">
        <is>
          <t>A 8163-2024</t>
        </is>
      </c>
      <c r="B76" s="1" t="n">
        <v>45351.60337962963</v>
      </c>
      <c r="C76" s="1" t="n">
        <v>45994</v>
      </c>
      <c r="D76" t="inlineStr">
        <is>
          <t>STOCKHOLMS LÄN</t>
        </is>
      </c>
      <c r="E76" t="inlineStr">
        <is>
          <t>HANINGE</t>
        </is>
      </c>
      <c r="F76" t="inlineStr">
        <is>
          <t>Kommuner</t>
        </is>
      </c>
      <c r="G76" t="n">
        <v>3.8</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45994</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45994</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45994</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18491-2025</t>
        </is>
      </c>
      <c r="B80" s="1" t="n">
        <v>45763.34135416667</v>
      </c>
      <c r="C80" s="1" t="n">
        <v>45994</v>
      </c>
      <c r="D80" t="inlineStr">
        <is>
          <t>STOCKHOLMS LÄN</t>
        </is>
      </c>
      <c r="E80" t="inlineStr">
        <is>
          <t>HANINGE</t>
        </is>
      </c>
      <c r="G80" t="n">
        <v>0.5</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45994</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6648-2023</t>
        </is>
      </c>
      <c r="B82" s="1" t="n">
        <v>44966</v>
      </c>
      <c r="C82" s="1" t="n">
        <v>45994</v>
      </c>
      <c r="D82" t="inlineStr">
        <is>
          <t>STOCKHOLMS LÄN</t>
        </is>
      </c>
      <c r="E82" t="inlineStr">
        <is>
          <t>HANINGE</t>
        </is>
      </c>
      <c r="G82" t="n">
        <v>4</v>
      </c>
      <c r="H82" t="n">
        <v>0</v>
      </c>
      <c r="I82" t="n">
        <v>0</v>
      </c>
      <c r="J82" t="n">
        <v>0</v>
      </c>
      <c r="K82" t="n">
        <v>0</v>
      </c>
      <c r="L82" t="n">
        <v>0</v>
      </c>
      <c r="M82" t="n">
        <v>0</v>
      </c>
      <c r="N82" t="n">
        <v>0</v>
      </c>
      <c r="O82" t="n">
        <v>0</v>
      </c>
      <c r="P82" t="n">
        <v>0</v>
      </c>
      <c r="Q82" t="n">
        <v>0</v>
      </c>
      <c r="R82" s="2" t="inlineStr"/>
    </row>
    <row r="83" ht="15" customHeight="1">
      <c r="A83" t="inlineStr">
        <is>
          <t>A 64075-2023</t>
        </is>
      </c>
      <c r="B83" s="1" t="n">
        <v>45279</v>
      </c>
      <c r="C83" s="1" t="n">
        <v>45994</v>
      </c>
      <c r="D83" t="inlineStr">
        <is>
          <t>STOCKHOLMS LÄN</t>
        </is>
      </c>
      <c r="E83" t="inlineStr">
        <is>
          <t>HANINGE</t>
        </is>
      </c>
      <c r="G83" t="n">
        <v>2.6</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45994</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1187-2024</t>
        </is>
      </c>
      <c r="B85" s="1" t="n">
        <v>45302.58045138889</v>
      </c>
      <c r="C85" s="1" t="n">
        <v>45994</v>
      </c>
      <c r="D85" t="inlineStr">
        <is>
          <t>STOCKHOLMS LÄN</t>
        </is>
      </c>
      <c r="E85" t="inlineStr">
        <is>
          <t>HANINGE</t>
        </is>
      </c>
      <c r="G85" t="n">
        <v>1.5</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45994</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45994</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20527-2025</t>
        </is>
      </c>
      <c r="B88" s="1" t="n">
        <v>45775.60663194444</v>
      </c>
      <c r="C88" s="1" t="n">
        <v>45994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64568-2023</t>
        </is>
      </c>
      <c r="B89" s="1" t="n">
        <v>45281.43164351852</v>
      </c>
      <c r="C89" s="1" t="n">
        <v>45994</v>
      </c>
      <c r="D89" t="inlineStr">
        <is>
          <t>STOCKHOLMS LÄN</t>
        </is>
      </c>
      <c r="E89" t="inlineStr">
        <is>
          <t>HANINGE</t>
        </is>
      </c>
      <c r="G89" t="n">
        <v>3.1</v>
      </c>
      <c r="H89" t="n">
        <v>0</v>
      </c>
      <c r="I89" t="n">
        <v>0</v>
      </c>
      <c r="J89" t="n">
        <v>0</v>
      </c>
      <c r="K89" t="n">
        <v>0</v>
      </c>
      <c r="L89" t="n">
        <v>0</v>
      </c>
      <c r="M89" t="n">
        <v>0</v>
      </c>
      <c r="N89" t="n">
        <v>0</v>
      </c>
      <c r="O89" t="n">
        <v>0</v>
      </c>
      <c r="P89" t="n">
        <v>0</v>
      </c>
      <c r="Q89" t="n">
        <v>0</v>
      </c>
      <c r="R89" s="2" t="inlineStr"/>
    </row>
    <row r="90" ht="15" customHeight="1">
      <c r="A90" t="inlineStr">
        <is>
          <t>A 1180-2024</t>
        </is>
      </c>
      <c r="B90" s="1" t="n">
        <v>45302</v>
      </c>
      <c r="C90" s="1" t="n">
        <v>45994</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24873-2023</t>
        </is>
      </c>
      <c r="B91" s="1" t="n">
        <v>45085</v>
      </c>
      <c r="C91" s="1" t="n">
        <v>45994</v>
      </c>
      <c r="D91" t="inlineStr">
        <is>
          <t>STOCKHOLMS LÄN</t>
        </is>
      </c>
      <c r="E91" t="inlineStr">
        <is>
          <t>HANINGE</t>
        </is>
      </c>
      <c r="G91" t="n">
        <v>1.9</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45994</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45994</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45994</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ht="15" customHeight="1">
      <c r="A95" t="inlineStr">
        <is>
          <t>A 32948-2025</t>
        </is>
      </c>
      <c r="B95" s="1" t="n">
        <v>45839</v>
      </c>
      <c r="C95" s="1" t="n">
        <v>45994</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row r="96" ht="15" customHeight="1">
      <c r="A96" t="inlineStr">
        <is>
          <t>A 14264-2025</t>
        </is>
      </c>
      <c r="B96" s="1" t="n">
        <v>45740.6340162037</v>
      </c>
      <c r="C96" s="1" t="n">
        <v>45994</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48606-2025</t>
        </is>
      </c>
      <c r="B97" s="1" t="n">
        <v>45936.47019675926</v>
      </c>
      <c r="C97" s="1" t="n">
        <v>45994</v>
      </c>
      <c r="D97" t="inlineStr">
        <is>
          <t>STOCKHOLMS LÄN</t>
        </is>
      </c>
      <c r="E97" t="inlineStr">
        <is>
          <t>HANINGE</t>
        </is>
      </c>
      <c r="G97" t="n">
        <v>6.9</v>
      </c>
      <c r="H97" t="n">
        <v>0</v>
      </c>
      <c r="I97" t="n">
        <v>0</v>
      </c>
      <c r="J97" t="n">
        <v>0</v>
      </c>
      <c r="K97" t="n">
        <v>0</v>
      </c>
      <c r="L97" t="n">
        <v>0</v>
      </c>
      <c r="M97" t="n">
        <v>0</v>
      </c>
      <c r="N97" t="n">
        <v>0</v>
      </c>
      <c r="O97" t="n">
        <v>0</v>
      </c>
      <c r="P97" t="n">
        <v>0</v>
      </c>
      <c r="Q97" t="n">
        <v>0</v>
      </c>
      <c r="R97" s="2" t="inlineStr"/>
    </row>
    <row r="98" ht="15" customHeight="1">
      <c r="A98" t="inlineStr">
        <is>
          <t>A 17020-2022</t>
        </is>
      </c>
      <c r="B98" s="1" t="n">
        <v>44676</v>
      </c>
      <c r="C98" s="1" t="n">
        <v>45994</v>
      </c>
      <c r="D98" t="inlineStr">
        <is>
          <t>STOCKHOLMS LÄN</t>
        </is>
      </c>
      <c r="E98" t="inlineStr">
        <is>
          <t>HANINGE</t>
        </is>
      </c>
      <c r="F98" t="inlineStr">
        <is>
          <t>Övriga statliga verk och myndigheter</t>
        </is>
      </c>
      <c r="G98" t="n">
        <v>12.4</v>
      </c>
      <c r="H98" t="n">
        <v>0</v>
      </c>
      <c r="I98" t="n">
        <v>0</v>
      </c>
      <c r="J98" t="n">
        <v>0</v>
      </c>
      <c r="K98" t="n">
        <v>0</v>
      </c>
      <c r="L98" t="n">
        <v>0</v>
      </c>
      <c r="M98" t="n">
        <v>0</v>
      </c>
      <c r="N98" t="n">
        <v>0</v>
      </c>
      <c r="O98" t="n">
        <v>0</v>
      </c>
      <c r="P98" t="n">
        <v>0</v>
      </c>
      <c r="Q98" t="n">
        <v>0</v>
      </c>
      <c r="R98" s="2" t="inlineStr"/>
    </row>
    <row r="99" ht="15" customHeight="1">
      <c r="A99" t="inlineStr">
        <is>
          <t>A 59565-2025</t>
        </is>
      </c>
      <c r="B99" s="1" t="n">
        <v>45991.88413194445</v>
      </c>
      <c r="C99" s="1" t="n">
        <v>45994</v>
      </c>
      <c r="D99" t="inlineStr">
        <is>
          <t>STOCKHOLMS LÄN</t>
        </is>
      </c>
      <c r="E99" t="inlineStr">
        <is>
          <t>HANINGE</t>
        </is>
      </c>
      <c r="G99" t="n">
        <v>1.2</v>
      </c>
      <c r="H99" t="n">
        <v>0</v>
      </c>
      <c r="I99" t="n">
        <v>0</v>
      </c>
      <c r="J99" t="n">
        <v>0</v>
      </c>
      <c r="K99" t="n">
        <v>0</v>
      </c>
      <c r="L99" t="n">
        <v>0</v>
      </c>
      <c r="M99" t="n">
        <v>0</v>
      </c>
      <c r="N99" t="n">
        <v>0</v>
      </c>
      <c r="O99" t="n">
        <v>0</v>
      </c>
      <c r="P99" t="n">
        <v>0</v>
      </c>
      <c r="Q99" t="n">
        <v>0</v>
      </c>
      <c r="R99" s="2" t="inlineStr"/>
    </row>
    <row r="100" ht="15" customHeight="1">
      <c r="A100" t="inlineStr">
        <is>
          <t>A 59568-2025</t>
        </is>
      </c>
      <c r="B100" s="1" t="n">
        <v>45991.90737268519</v>
      </c>
      <c r="C100" s="1" t="n">
        <v>45994</v>
      </c>
      <c r="D100" t="inlineStr">
        <is>
          <t>STOCKHOLMS LÄN</t>
        </is>
      </c>
      <c r="E100" t="inlineStr">
        <is>
          <t>HANINGE</t>
        </is>
      </c>
      <c r="G100" t="n">
        <v>5.8</v>
      </c>
      <c r="H100" t="n">
        <v>0</v>
      </c>
      <c r="I100" t="n">
        <v>0</v>
      </c>
      <c r="J100" t="n">
        <v>0</v>
      </c>
      <c r="K100" t="n">
        <v>0</v>
      </c>
      <c r="L100" t="n">
        <v>0</v>
      </c>
      <c r="M100" t="n">
        <v>0</v>
      </c>
      <c r="N100" t="n">
        <v>0</v>
      </c>
      <c r="O100" t="n">
        <v>0</v>
      </c>
      <c r="P100" t="n">
        <v>0</v>
      </c>
      <c r="Q100" t="n">
        <v>0</v>
      </c>
      <c r="R100" s="2" t="inlineStr"/>
    </row>
    <row r="101">
      <c r="A101" t="inlineStr">
        <is>
          <t>A 59569-2025</t>
        </is>
      </c>
      <c r="B101" s="1" t="n">
        <v>45991.92870370371</v>
      </c>
      <c r="C101" s="1" t="n">
        <v>45994</v>
      </c>
      <c r="D101" t="inlineStr">
        <is>
          <t>STOCKHOLMS LÄN</t>
        </is>
      </c>
      <c r="E101" t="inlineStr">
        <is>
          <t>HANINGE</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2025-12-03T10:26:21Z</dcterms:created>
  <dcterms:modified xmlns:dcterms="http://purl.org/dc/terms/" xmlns:xsi="http://www.w3.org/2001/XMLSchema-instance" xsi:type="dcterms:W3CDTF">2025-12-03T10:26:21Z</dcterms:modified>
</cp:coreProperties>
</file>