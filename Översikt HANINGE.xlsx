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45693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45693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45693</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45693</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45693</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45693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45693</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45693</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45693</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45693</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45693</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45693</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45693</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45693</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2228-2025</t>
        </is>
      </c>
      <c r="B16" s="1" t="n">
        <v>45672</v>
      </c>
      <c r="C16" s="1" t="n">
        <v>45693</v>
      </c>
      <c r="D16" t="inlineStr">
        <is>
          <t>STOCKHOLMS LÄN</t>
        </is>
      </c>
      <c r="E16" t="inlineStr">
        <is>
          <t>HANINGE</t>
        </is>
      </c>
      <c r="G16" t="n">
        <v>1.9</v>
      </c>
      <c r="H16" t="n">
        <v>4</v>
      </c>
      <c r="I16" t="n">
        <v>4</v>
      </c>
      <c r="J16" t="n">
        <v>2</v>
      </c>
      <c r="K16" t="n">
        <v>0</v>
      </c>
      <c r="L16" t="n">
        <v>0</v>
      </c>
      <c r="M16" t="n">
        <v>0</v>
      </c>
      <c r="N16" t="n">
        <v>0</v>
      </c>
      <c r="O16" t="n">
        <v>2</v>
      </c>
      <c r="P16" t="n">
        <v>0</v>
      </c>
      <c r="Q16" t="n">
        <v>9</v>
      </c>
      <c r="R16" s="2" t="inlineStr">
        <is>
          <t>Spillkråka
Tallticka
Blåmossa
Granbarkgnagare
Mindre märgborre
Sårläka
Vanlig padda
Blåsippa
Gullviva</t>
        </is>
      </c>
      <c r="S16">
        <f>HYPERLINK("https://klasma.github.io/Logging_0136/artfynd/A 2228-2025 artfynd.xlsx", "A 2228-2025")</f>
        <v/>
      </c>
      <c r="T16">
        <f>HYPERLINK("https://klasma.github.io/Logging_0136/kartor/A 2228-2025 karta.png", "A 2228-2025")</f>
        <v/>
      </c>
      <c r="V16">
        <f>HYPERLINK("https://klasma.github.io/Logging_0136/klagomål/A 2228-2025 FSC-klagomål.docx", "A 2228-2025")</f>
        <v/>
      </c>
      <c r="W16">
        <f>HYPERLINK("https://klasma.github.io/Logging_0136/klagomålsmail/A 2228-2025 FSC-klagomål mail.docx", "A 2228-2025")</f>
        <v/>
      </c>
      <c r="X16">
        <f>HYPERLINK("https://klasma.github.io/Logging_0136/tillsyn/A 2228-2025 tillsynsbegäran.docx", "A 2228-2025")</f>
        <v/>
      </c>
      <c r="Y16">
        <f>HYPERLINK("https://klasma.github.io/Logging_0136/tillsynsmail/A 2228-2025 tillsynsbegäran mail.docx", "A 2228-2025")</f>
        <v/>
      </c>
      <c r="Z16">
        <f>HYPERLINK("https://klasma.github.io/Logging_0136/fåglar/A 2228-2025 prioriterade fågelarter.docx", "A 2228-2025")</f>
        <v/>
      </c>
    </row>
    <row r="17" ht="15" customHeight="1">
      <c r="A17" t="inlineStr">
        <is>
          <t>A 3152-2025</t>
        </is>
      </c>
      <c r="B17" s="1" t="n">
        <v>45679</v>
      </c>
      <c r="C17" s="1" t="n">
        <v>45693</v>
      </c>
      <c r="D17" t="inlineStr">
        <is>
          <t>STOCKHOLMS LÄN</t>
        </is>
      </c>
      <c r="E17" t="inlineStr">
        <is>
          <t>HANINGE</t>
        </is>
      </c>
      <c r="G17" t="n">
        <v>2.2</v>
      </c>
      <c r="H17" t="n">
        <v>4</v>
      </c>
      <c r="I17" t="n">
        <v>4</v>
      </c>
      <c r="J17" t="n">
        <v>2</v>
      </c>
      <c r="K17" t="n">
        <v>0</v>
      </c>
      <c r="L17" t="n">
        <v>0</v>
      </c>
      <c r="M17" t="n">
        <v>0</v>
      </c>
      <c r="N17" t="n">
        <v>0</v>
      </c>
      <c r="O17" t="n">
        <v>2</v>
      </c>
      <c r="P17" t="n">
        <v>0</v>
      </c>
      <c r="Q17" t="n">
        <v>8</v>
      </c>
      <c r="R17" s="2" t="inlineStr">
        <is>
          <t>Blå taggsvamp
Vedtrappmossa
Grön sköldmossa
Grönpyrola
Mindre märgborre
Plattlummer
Mattlummer
Revlummer</t>
        </is>
      </c>
      <c r="S17">
        <f>HYPERLINK("https://klasma.github.io/Logging_0136/artfynd/A 3152-2025 artfynd.xlsx", "A 3152-2025")</f>
        <v/>
      </c>
      <c r="T17">
        <f>HYPERLINK("https://klasma.github.io/Logging_0136/kartor/A 3152-2025 karta.png", "A 3152-2025")</f>
        <v/>
      </c>
      <c r="V17">
        <f>HYPERLINK("https://klasma.github.io/Logging_0136/klagomål/A 3152-2025 FSC-klagomål.docx", "A 3152-2025")</f>
        <v/>
      </c>
      <c r="W17">
        <f>HYPERLINK("https://klasma.github.io/Logging_0136/klagomålsmail/A 3152-2025 FSC-klagomål mail.docx", "A 3152-2025")</f>
        <v/>
      </c>
      <c r="X17">
        <f>HYPERLINK("https://klasma.github.io/Logging_0136/tillsyn/A 3152-2025 tillsynsbegäran.docx", "A 3152-2025")</f>
        <v/>
      </c>
      <c r="Y17">
        <f>HYPERLINK("https://klasma.github.io/Logging_0136/tillsynsmail/A 3152-2025 tillsynsbegäran mail.docx", "A 3152-2025")</f>
        <v/>
      </c>
    </row>
    <row r="18" ht="15" customHeight="1">
      <c r="A18" t="inlineStr">
        <is>
          <t>A 2215-2025</t>
        </is>
      </c>
      <c r="B18" s="1" t="n">
        <v>45672</v>
      </c>
      <c r="C18" s="1" t="n">
        <v>45693</v>
      </c>
      <c r="D18" t="inlineStr">
        <is>
          <t>STOCKHOLMS LÄN</t>
        </is>
      </c>
      <c r="E18" t="inlineStr">
        <is>
          <t>HANINGE</t>
        </is>
      </c>
      <c r="G18" t="n">
        <v>2.3</v>
      </c>
      <c r="H18" t="n">
        <v>3</v>
      </c>
      <c r="I18" t="n">
        <v>2</v>
      </c>
      <c r="J18" t="n">
        <v>2</v>
      </c>
      <c r="K18" t="n">
        <v>1</v>
      </c>
      <c r="L18" t="n">
        <v>0</v>
      </c>
      <c r="M18" t="n">
        <v>0</v>
      </c>
      <c r="N18" t="n">
        <v>0</v>
      </c>
      <c r="O18" t="n">
        <v>3</v>
      </c>
      <c r="P18" t="n">
        <v>1</v>
      </c>
      <c r="Q18" t="n">
        <v>7</v>
      </c>
      <c r="R18" s="2" t="inlineStr">
        <is>
          <t>Knärot
Grönhjon
Tallticka
Granbarkgnagare
Sårläka
Mattlummer
Revlummer</t>
        </is>
      </c>
      <c r="S18">
        <f>HYPERLINK("https://klasma.github.io/Logging_0136/artfynd/A 2215-2025 artfynd.xlsx", "A 2215-2025")</f>
        <v/>
      </c>
      <c r="T18">
        <f>HYPERLINK("https://klasma.github.io/Logging_0136/kartor/A 2215-2025 karta.png", "A 2215-2025")</f>
        <v/>
      </c>
      <c r="U18">
        <f>HYPERLINK("https://klasma.github.io/Logging_0136/knärot/A 2215-2025 karta knärot.png", "A 2215-2025")</f>
        <v/>
      </c>
      <c r="V18">
        <f>HYPERLINK("https://klasma.github.io/Logging_0136/klagomål/A 2215-2025 FSC-klagomål.docx", "A 2215-2025")</f>
        <v/>
      </c>
      <c r="W18">
        <f>HYPERLINK("https://klasma.github.io/Logging_0136/klagomålsmail/A 2215-2025 FSC-klagomål mail.docx", "A 2215-2025")</f>
        <v/>
      </c>
      <c r="X18">
        <f>HYPERLINK("https://klasma.github.io/Logging_0136/tillsyn/A 2215-2025 tillsynsbegäran.docx", "A 2215-2025")</f>
        <v/>
      </c>
      <c r="Y18">
        <f>HYPERLINK("https://klasma.github.io/Logging_0136/tillsynsmail/A 2215-2025 tillsynsbegäran mail.docx", "A 2215-2025")</f>
        <v/>
      </c>
    </row>
    <row r="19" ht="15" customHeight="1">
      <c r="A19" t="inlineStr">
        <is>
          <t>A 57469-2020</t>
        </is>
      </c>
      <c r="B19" s="1" t="n">
        <v>44139</v>
      </c>
      <c r="C19" s="1" t="n">
        <v>45693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45693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45693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45693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45693</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45693</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45693</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45693</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45693</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21187-2020</t>
        </is>
      </c>
      <c r="B28" s="1" t="n">
        <v>43951</v>
      </c>
      <c r="C28" s="1" t="n">
        <v>45693</v>
      </c>
      <c r="D28" t="inlineStr">
        <is>
          <t>STOCKHOLMS LÄN</t>
        </is>
      </c>
      <c r="E28" t="inlineStr">
        <is>
          <t>HANINGE</t>
        </is>
      </c>
      <c r="G28" t="n">
        <v>1.2</v>
      </c>
      <c r="H28" t="n">
        <v>0</v>
      </c>
      <c r="I28" t="n">
        <v>1</v>
      </c>
      <c r="J28" t="n">
        <v>0</v>
      </c>
      <c r="K28" t="n">
        <v>1</v>
      </c>
      <c r="L28" t="n">
        <v>0</v>
      </c>
      <c r="M28" t="n">
        <v>0</v>
      </c>
      <c r="N28" t="n">
        <v>0</v>
      </c>
      <c r="O28" t="n">
        <v>1</v>
      </c>
      <c r="P28" t="n">
        <v>1</v>
      </c>
      <c r="Q28" t="n">
        <v>2</v>
      </c>
      <c r="R28" s="2" t="inlineStr">
        <is>
          <t>Fläckfingersvamp
Granbarkgnagare</t>
        </is>
      </c>
      <c r="S28">
        <f>HYPERLINK("https://klasma.github.io/Logging_0136/artfynd/A 21187-2020 artfynd.xlsx", "A 21187-2020")</f>
        <v/>
      </c>
      <c r="T28">
        <f>HYPERLINK("https://klasma.github.io/Logging_0136/kartor/A 21187-2020 karta.png", "A 21187-2020")</f>
        <v/>
      </c>
      <c r="V28">
        <f>HYPERLINK("https://klasma.github.io/Logging_0136/klagomål/A 21187-2020 FSC-klagomål.docx", "A 21187-2020")</f>
        <v/>
      </c>
      <c r="W28">
        <f>HYPERLINK("https://klasma.github.io/Logging_0136/klagomålsmail/A 21187-2020 FSC-klagomål mail.docx", "A 21187-2020")</f>
        <v/>
      </c>
      <c r="X28">
        <f>HYPERLINK("https://klasma.github.io/Logging_0136/tillsyn/A 21187-2020 tillsynsbegäran.docx", "A 21187-2020")</f>
        <v/>
      </c>
      <c r="Y28">
        <f>HYPERLINK("https://klasma.github.io/Logging_0136/tillsynsmail/A 21187-2020 tillsynsbegäran mail.docx", "A 21187-2020")</f>
        <v/>
      </c>
    </row>
    <row r="29" ht="15" customHeight="1">
      <c r="A29" t="inlineStr">
        <is>
          <t>A 53858-2020</t>
        </is>
      </c>
      <c r="B29" s="1" t="n">
        <v>44125</v>
      </c>
      <c r="C29" s="1" t="n">
        <v>45693</v>
      </c>
      <c r="D29" t="inlineStr">
        <is>
          <t>STOCKHOLMS LÄN</t>
        </is>
      </c>
      <c r="E29" t="inlineStr">
        <is>
          <t>HANINGE</t>
        </is>
      </c>
      <c r="G29" t="n">
        <v>18.5</v>
      </c>
      <c r="H29" t="n">
        <v>2</v>
      </c>
      <c r="I29" t="n">
        <v>1</v>
      </c>
      <c r="J29" t="n">
        <v>0</v>
      </c>
      <c r="K29" t="n">
        <v>0</v>
      </c>
      <c r="L29" t="n">
        <v>0</v>
      </c>
      <c r="M29" t="n">
        <v>0</v>
      </c>
      <c r="N29" t="n">
        <v>0</v>
      </c>
      <c r="O29" t="n">
        <v>0</v>
      </c>
      <c r="P29" t="n">
        <v>0</v>
      </c>
      <c r="Q29" t="n">
        <v>2</v>
      </c>
      <c r="R29" s="2" t="inlineStr">
        <is>
          <t>Korallrot
Fläcknycklar</t>
        </is>
      </c>
      <c r="S29">
        <f>HYPERLINK("https://klasma.github.io/Logging_0136/artfynd/A 53858-2020 artfynd.xlsx", "A 53858-2020")</f>
        <v/>
      </c>
      <c r="T29">
        <f>HYPERLINK("https://klasma.github.io/Logging_0136/kartor/A 53858-2020 karta.png", "A 53858-2020")</f>
        <v/>
      </c>
      <c r="V29">
        <f>HYPERLINK("https://klasma.github.io/Logging_0136/klagomål/A 53858-2020 FSC-klagomål.docx", "A 53858-2020")</f>
        <v/>
      </c>
      <c r="W29">
        <f>HYPERLINK("https://klasma.github.io/Logging_0136/klagomålsmail/A 53858-2020 FSC-klagomål mail.docx", "A 53858-2020")</f>
        <v/>
      </c>
      <c r="X29">
        <f>HYPERLINK("https://klasma.github.io/Logging_0136/tillsyn/A 53858-2020 tillsynsbegäran.docx", "A 53858-2020")</f>
        <v/>
      </c>
      <c r="Y29">
        <f>HYPERLINK("https://klasma.github.io/Logging_0136/tillsynsmail/A 53858-2020 tillsynsbegäran mail.docx", "A 53858-2020")</f>
        <v/>
      </c>
    </row>
    <row r="30" ht="15" customHeight="1">
      <c r="A30" t="inlineStr">
        <is>
          <t>A 14729-2023</t>
        </is>
      </c>
      <c r="B30" s="1" t="n">
        <v>45014</v>
      </c>
      <c r="C30" s="1" t="n">
        <v>45693</v>
      </c>
      <c r="D30" t="inlineStr">
        <is>
          <t>STOCKHOLMS LÄN</t>
        </is>
      </c>
      <c r="E30" t="inlineStr">
        <is>
          <t>HANINGE</t>
        </is>
      </c>
      <c r="G30" t="n">
        <v>0.2</v>
      </c>
      <c r="H30" t="n">
        <v>0</v>
      </c>
      <c r="I30" t="n">
        <v>1</v>
      </c>
      <c r="J30" t="n">
        <v>1</v>
      </c>
      <c r="K30" t="n">
        <v>0</v>
      </c>
      <c r="L30" t="n">
        <v>0</v>
      </c>
      <c r="M30" t="n">
        <v>0</v>
      </c>
      <c r="N30" t="n">
        <v>0</v>
      </c>
      <c r="O30" t="n">
        <v>1</v>
      </c>
      <c r="P30" t="n">
        <v>0</v>
      </c>
      <c r="Q30" t="n">
        <v>2</v>
      </c>
      <c r="R30" s="2" t="inlineStr">
        <is>
          <t>Ullticka
Mindre märgborre</t>
        </is>
      </c>
      <c r="S30">
        <f>HYPERLINK("https://klasma.github.io/Logging_0136/artfynd/A 14729-2023 artfynd.xlsx", "A 14729-2023")</f>
        <v/>
      </c>
      <c r="T30">
        <f>HYPERLINK("https://klasma.github.io/Logging_0136/kartor/A 14729-2023 karta.png", "A 14729-2023")</f>
        <v/>
      </c>
      <c r="V30">
        <f>HYPERLINK("https://klasma.github.io/Logging_0136/klagomål/A 14729-2023 FSC-klagomål.docx", "A 14729-2023")</f>
        <v/>
      </c>
      <c r="W30">
        <f>HYPERLINK("https://klasma.github.io/Logging_0136/klagomålsmail/A 14729-2023 FSC-klagomål mail.docx", "A 14729-2023")</f>
        <v/>
      </c>
      <c r="X30">
        <f>HYPERLINK("https://klasma.github.io/Logging_0136/tillsyn/A 14729-2023 tillsynsbegäran.docx", "A 14729-2023")</f>
        <v/>
      </c>
      <c r="Y30">
        <f>HYPERLINK("https://klasma.github.io/Logging_0136/tillsynsmail/A 14729-2023 tillsynsbegäran mail.docx", "A 14729-2023")</f>
        <v/>
      </c>
    </row>
    <row r="31" ht="15" customHeight="1">
      <c r="A31" t="inlineStr">
        <is>
          <t>A 60213-2023</t>
        </is>
      </c>
      <c r="B31" s="1" t="n">
        <v>45258</v>
      </c>
      <c r="C31" s="1" t="n">
        <v>45693</v>
      </c>
      <c r="D31" t="inlineStr">
        <is>
          <t>STOCKHOLMS LÄN</t>
        </is>
      </c>
      <c r="E31" t="inlineStr">
        <is>
          <t>HANINGE</t>
        </is>
      </c>
      <c r="G31" t="n">
        <v>3.4</v>
      </c>
      <c r="H31" t="n">
        <v>1</v>
      </c>
      <c r="I31" t="n">
        <v>1</v>
      </c>
      <c r="J31" t="n">
        <v>1</v>
      </c>
      <c r="K31" t="n">
        <v>0</v>
      </c>
      <c r="L31" t="n">
        <v>0</v>
      </c>
      <c r="M31" t="n">
        <v>0</v>
      </c>
      <c r="N31" t="n">
        <v>0</v>
      </c>
      <c r="O31" t="n">
        <v>1</v>
      </c>
      <c r="P31" t="n">
        <v>0</v>
      </c>
      <c r="Q31" t="n">
        <v>2</v>
      </c>
      <c r="R31" s="2" t="inlineStr">
        <is>
          <t>Granticka
Grön sköldmossa</t>
        </is>
      </c>
      <c r="S31">
        <f>HYPERLINK("https://klasma.github.io/Logging_0136/artfynd/A 60213-2023 artfynd.xlsx", "A 60213-2023")</f>
        <v/>
      </c>
      <c r="T31">
        <f>HYPERLINK("https://klasma.github.io/Logging_0136/kartor/A 60213-2023 karta.png", "A 60213-2023")</f>
        <v/>
      </c>
      <c r="V31">
        <f>HYPERLINK("https://klasma.github.io/Logging_0136/klagomål/A 60213-2023 FSC-klagomål.docx", "A 60213-2023")</f>
        <v/>
      </c>
      <c r="W31">
        <f>HYPERLINK("https://klasma.github.io/Logging_0136/klagomålsmail/A 60213-2023 FSC-klagomål mail.docx", "A 60213-2023")</f>
        <v/>
      </c>
      <c r="X31">
        <f>HYPERLINK("https://klasma.github.io/Logging_0136/tillsyn/A 60213-2023 tillsynsbegäran.docx", "A 60213-2023")</f>
        <v/>
      </c>
      <c r="Y31">
        <f>HYPERLINK("https://klasma.github.io/Logging_0136/tillsynsmail/A 60213-2023 tillsynsbegäran mail.docx", "A 60213-2023")</f>
        <v/>
      </c>
    </row>
    <row r="32" ht="15" customHeight="1">
      <c r="A32" t="inlineStr">
        <is>
          <t>A 60375-2023</t>
        </is>
      </c>
      <c r="B32" s="1" t="n">
        <v>45259</v>
      </c>
      <c r="C32" s="1" t="n">
        <v>45693</v>
      </c>
      <c r="D32" t="inlineStr">
        <is>
          <t>STOCKHOLMS LÄN</t>
        </is>
      </c>
      <c r="E32" t="inlineStr">
        <is>
          <t>HANINGE</t>
        </is>
      </c>
      <c r="G32" t="n">
        <v>2.1</v>
      </c>
      <c r="H32" t="n">
        <v>0</v>
      </c>
      <c r="I32" t="n">
        <v>1</v>
      </c>
      <c r="J32" t="n">
        <v>1</v>
      </c>
      <c r="K32" t="n">
        <v>0</v>
      </c>
      <c r="L32" t="n">
        <v>0</v>
      </c>
      <c r="M32" t="n">
        <v>0</v>
      </c>
      <c r="N32" t="n">
        <v>0</v>
      </c>
      <c r="O32" t="n">
        <v>1</v>
      </c>
      <c r="P32" t="n">
        <v>0</v>
      </c>
      <c r="Q32" t="n">
        <v>2</v>
      </c>
      <c r="R32" s="2" t="inlineStr">
        <is>
          <t>Granticka
Granbarkgnagare</t>
        </is>
      </c>
      <c r="S32">
        <f>HYPERLINK("https://klasma.github.io/Logging_0136/artfynd/A 60375-2023 artfynd.xlsx", "A 60375-2023")</f>
        <v/>
      </c>
      <c r="T32">
        <f>HYPERLINK("https://klasma.github.io/Logging_0136/kartor/A 60375-2023 karta.png", "A 60375-2023")</f>
        <v/>
      </c>
      <c r="V32">
        <f>HYPERLINK("https://klasma.github.io/Logging_0136/klagomål/A 60375-2023 FSC-klagomål.docx", "A 60375-2023")</f>
        <v/>
      </c>
      <c r="W32">
        <f>HYPERLINK("https://klasma.github.io/Logging_0136/klagomålsmail/A 60375-2023 FSC-klagomål mail.docx", "A 60375-2023")</f>
        <v/>
      </c>
      <c r="X32">
        <f>HYPERLINK("https://klasma.github.io/Logging_0136/tillsyn/A 60375-2023 tillsynsbegäran.docx", "A 60375-2023")</f>
        <v/>
      </c>
      <c r="Y32">
        <f>HYPERLINK("https://klasma.github.io/Logging_0136/tillsynsmail/A 60375-2023 tillsynsbegäran mail.docx", "A 60375-2023")</f>
        <v/>
      </c>
    </row>
    <row r="33" ht="15" customHeight="1">
      <c r="A33" t="inlineStr">
        <is>
          <t>A 12662-2024</t>
        </is>
      </c>
      <c r="B33" s="1" t="n">
        <v>45384</v>
      </c>
      <c r="C33" s="1" t="n">
        <v>45693</v>
      </c>
      <c r="D33" t="inlineStr">
        <is>
          <t>STOCKHOLMS LÄN</t>
        </is>
      </c>
      <c r="E33" t="inlineStr">
        <is>
          <t>HANINGE</t>
        </is>
      </c>
      <c r="G33" t="n">
        <v>1.8</v>
      </c>
      <c r="H33" t="n">
        <v>1</v>
      </c>
      <c r="I33" t="n">
        <v>1</v>
      </c>
      <c r="J33" t="n">
        <v>0</v>
      </c>
      <c r="K33" t="n">
        <v>0</v>
      </c>
      <c r="L33" t="n">
        <v>0</v>
      </c>
      <c r="M33" t="n">
        <v>0</v>
      </c>
      <c r="N33" t="n">
        <v>0</v>
      </c>
      <c r="O33" t="n">
        <v>0</v>
      </c>
      <c r="P33" t="n">
        <v>0</v>
      </c>
      <c r="Q33" t="n">
        <v>2</v>
      </c>
      <c r="R33" s="2" t="inlineStr">
        <is>
          <t>Skogshakmossa
Blåsippa</t>
        </is>
      </c>
      <c r="S33">
        <f>HYPERLINK("https://klasma.github.io/Logging_0136/artfynd/A 12662-2024 artfynd.xlsx", "A 12662-2024")</f>
        <v/>
      </c>
      <c r="T33">
        <f>HYPERLINK("https://klasma.github.io/Logging_0136/kartor/A 12662-2024 karta.png", "A 12662-2024")</f>
        <v/>
      </c>
      <c r="V33">
        <f>HYPERLINK("https://klasma.github.io/Logging_0136/klagomål/A 12662-2024 FSC-klagomål.docx", "A 12662-2024")</f>
        <v/>
      </c>
      <c r="W33">
        <f>HYPERLINK("https://klasma.github.io/Logging_0136/klagomålsmail/A 12662-2024 FSC-klagomål mail.docx", "A 12662-2024")</f>
        <v/>
      </c>
      <c r="X33">
        <f>HYPERLINK("https://klasma.github.io/Logging_0136/tillsyn/A 12662-2024 tillsynsbegäran.docx", "A 12662-2024")</f>
        <v/>
      </c>
      <c r="Y33">
        <f>HYPERLINK("https://klasma.github.io/Logging_0136/tillsynsmail/A 12662-2024 tillsynsbegäran mail.docx", "A 12662-2024")</f>
        <v/>
      </c>
    </row>
    <row r="34" ht="15" customHeight="1">
      <c r="A34" t="inlineStr">
        <is>
          <t>A 29513-2019</t>
        </is>
      </c>
      <c r="B34" s="1" t="n">
        <v>43627</v>
      </c>
      <c r="C34" s="1" t="n">
        <v>45693</v>
      </c>
      <c r="D34" t="inlineStr">
        <is>
          <t>STOCKHOLMS LÄN</t>
        </is>
      </c>
      <c r="E34" t="inlineStr">
        <is>
          <t>HANINGE</t>
        </is>
      </c>
      <c r="G34" t="n">
        <v>2.1</v>
      </c>
      <c r="H34" t="n">
        <v>1</v>
      </c>
      <c r="I34" t="n">
        <v>0</v>
      </c>
      <c r="J34" t="n">
        <v>1</v>
      </c>
      <c r="K34" t="n">
        <v>0</v>
      </c>
      <c r="L34" t="n">
        <v>0</v>
      </c>
      <c r="M34" t="n">
        <v>0</v>
      </c>
      <c r="N34" t="n">
        <v>0</v>
      </c>
      <c r="O34" t="n">
        <v>1</v>
      </c>
      <c r="P34" t="n">
        <v>0</v>
      </c>
      <c r="Q34" t="n">
        <v>1</v>
      </c>
      <c r="R34" s="2" t="inlineStr">
        <is>
          <t>Spillkråka</t>
        </is>
      </c>
      <c r="S34">
        <f>HYPERLINK("https://klasma.github.io/Logging_0136/artfynd/A 29513-2019 artfynd.xlsx", "A 29513-2019")</f>
        <v/>
      </c>
      <c r="T34">
        <f>HYPERLINK("https://klasma.github.io/Logging_0136/kartor/A 29513-2019 karta.png", "A 29513-2019")</f>
        <v/>
      </c>
      <c r="V34">
        <f>HYPERLINK("https://klasma.github.io/Logging_0136/klagomål/A 29513-2019 FSC-klagomål.docx", "A 29513-2019")</f>
        <v/>
      </c>
      <c r="W34">
        <f>HYPERLINK("https://klasma.github.io/Logging_0136/klagomålsmail/A 29513-2019 FSC-klagomål mail.docx", "A 29513-2019")</f>
        <v/>
      </c>
      <c r="X34">
        <f>HYPERLINK("https://klasma.github.io/Logging_0136/tillsyn/A 29513-2019 tillsynsbegäran.docx", "A 29513-2019")</f>
        <v/>
      </c>
      <c r="Y34">
        <f>HYPERLINK("https://klasma.github.io/Logging_0136/tillsynsmail/A 29513-2019 tillsynsbegäran mail.docx", "A 29513-2019")</f>
        <v/>
      </c>
      <c r="Z34">
        <f>HYPERLINK("https://klasma.github.io/Logging_0136/fåglar/A 29513-2019 prioriterade fågelarter.docx", "A 29513-2019")</f>
        <v/>
      </c>
    </row>
    <row r="35" ht="15" customHeight="1">
      <c r="A35" t="inlineStr">
        <is>
          <t>A 68231-2019</t>
        </is>
      </c>
      <c r="B35" s="1" t="n">
        <v>43817</v>
      </c>
      <c r="C35" s="1" t="n">
        <v>45693</v>
      </c>
      <c r="D35" t="inlineStr">
        <is>
          <t>STOCKHOLMS LÄN</t>
        </is>
      </c>
      <c r="E35" t="inlineStr">
        <is>
          <t>HANINGE</t>
        </is>
      </c>
      <c r="F35" t="inlineStr">
        <is>
          <t>Övriga statliga verk och myndigheter</t>
        </is>
      </c>
      <c r="G35" t="n">
        <v>80.5</v>
      </c>
      <c r="H35" t="n">
        <v>1</v>
      </c>
      <c r="I35" t="n">
        <v>0</v>
      </c>
      <c r="J35" t="n">
        <v>1</v>
      </c>
      <c r="K35" t="n">
        <v>0</v>
      </c>
      <c r="L35" t="n">
        <v>0</v>
      </c>
      <c r="M35" t="n">
        <v>0</v>
      </c>
      <c r="N35" t="n">
        <v>0</v>
      </c>
      <c r="O35" t="n">
        <v>1</v>
      </c>
      <c r="P35" t="n">
        <v>0</v>
      </c>
      <c r="Q35" t="n">
        <v>1</v>
      </c>
      <c r="R35" s="2" t="inlineStr">
        <is>
          <t>Havsörn</t>
        </is>
      </c>
      <c r="S35">
        <f>HYPERLINK("https://klasma.github.io/Logging_0136/artfynd/A 68231-2019 artfynd.xlsx", "A 68231-2019")</f>
        <v/>
      </c>
      <c r="T35">
        <f>HYPERLINK("https://klasma.github.io/Logging_0136/kartor/A 68231-2019 karta.png", "A 68231-2019")</f>
        <v/>
      </c>
      <c r="V35">
        <f>HYPERLINK("https://klasma.github.io/Logging_0136/klagomål/A 68231-2019 FSC-klagomål.docx", "A 68231-2019")</f>
        <v/>
      </c>
      <c r="W35">
        <f>HYPERLINK("https://klasma.github.io/Logging_0136/klagomålsmail/A 68231-2019 FSC-klagomål mail.docx", "A 68231-2019")</f>
        <v/>
      </c>
      <c r="X35">
        <f>HYPERLINK("https://klasma.github.io/Logging_0136/tillsyn/A 68231-2019 tillsynsbegäran.docx", "A 68231-2019")</f>
        <v/>
      </c>
      <c r="Y35">
        <f>HYPERLINK("https://klasma.github.io/Logging_0136/tillsynsmail/A 68231-2019 tillsynsbegäran mail.docx", "A 68231-2019")</f>
        <v/>
      </c>
      <c r="Z35">
        <f>HYPERLINK("https://klasma.github.io/Logging_0136/fåglar/A 68231-2019 prioriterade fågelarter.docx", "A 68231-2019")</f>
        <v/>
      </c>
    </row>
    <row r="36" ht="15" customHeight="1">
      <c r="A36" t="inlineStr">
        <is>
          <t>A 15312-2020</t>
        </is>
      </c>
      <c r="B36" s="1" t="n">
        <v>43913</v>
      </c>
      <c r="C36" s="1" t="n">
        <v>45693</v>
      </c>
      <c r="D36" t="inlineStr">
        <is>
          <t>STOCKHOLMS LÄN</t>
        </is>
      </c>
      <c r="E36" t="inlineStr">
        <is>
          <t>HANINGE</t>
        </is>
      </c>
      <c r="F36" t="inlineStr">
        <is>
          <t>Övriga statliga verk och myndigheter</t>
        </is>
      </c>
      <c r="G36" t="n">
        <v>2.4</v>
      </c>
      <c r="H36" t="n">
        <v>0</v>
      </c>
      <c r="I36" t="n">
        <v>0</v>
      </c>
      <c r="J36" t="n">
        <v>1</v>
      </c>
      <c r="K36" t="n">
        <v>0</v>
      </c>
      <c r="L36" t="n">
        <v>0</v>
      </c>
      <c r="M36" t="n">
        <v>0</v>
      </c>
      <c r="N36" t="n">
        <v>0</v>
      </c>
      <c r="O36" t="n">
        <v>1</v>
      </c>
      <c r="P36" t="n">
        <v>0</v>
      </c>
      <c r="Q36" t="n">
        <v>1</v>
      </c>
      <c r="R36" s="2" t="inlineStr">
        <is>
          <t>Tallticka</t>
        </is>
      </c>
      <c r="S36">
        <f>HYPERLINK("https://klasma.github.io/Logging_0136/artfynd/A 15312-2020 artfynd.xlsx", "A 15312-2020")</f>
        <v/>
      </c>
      <c r="T36">
        <f>HYPERLINK("https://klasma.github.io/Logging_0136/kartor/A 15312-2020 karta.png", "A 15312-2020")</f>
        <v/>
      </c>
      <c r="V36">
        <f>HYPERLINK("https://klasma.github.io/Logging_0136/klagomål/A 15312-2020 FSC-klagomål.docx", "A 15312-2020")</f>
        <v/>
      </c>
      <c r="W36">
        <f>HYPERLINK("https://klasma.github.io/Logging_0136/klagomålsmail/A 15312-2020 FSC-klagomål mail.docx", "A 15312-2020")</f>
        <v/>
      </c>
      <c r="X36">
        <f>HYPERLINK("https://klasma.github.io/Logging_0136/tillsyn/A 15312-2020 tillsynsbegäran.docx", "A 15312-2020")</f>
        <v/>
      </c>
      <c r="Y36">
        <f>HYPERLINK("https://klasma.github.io/Logging_0136/tillsynsmail/A 15312-2020 tillsynsbegäran mail.docx", "A 15312-2020")</f>
        <v/>
      </c>
    </row>
    <row r="37" ht="15" customHeight="1">
      <c r="A37" t="inlineStr">
        <is>
          <t>A 32525-2020</t>
        </is>
      </c>
      <c r="B37" s="1" t="n">
        <v>44018</v>
      </c>
      <c r="C37" s="1" t="n">
        <v>45693</v>
      </c>
      <c r="D37" t="inlineStr">
        <is>
          <t>STOCKHOLMS LÄN</t>
        </is>
      </c>
      <c r="E37" t="inlineStr">
        <is>
          <t>HANINGE</t>
        </is>
      </c>
      <c r="F37" t="inlineStr">
        <is>
          <t>Kommuner</t>
        </is>
      </c>
      <c r="G37" t="n">
        <v>2.3</v>
      </c>
      <c r="H37" t="n">
        <v>0</v>
      </c>
      <c r="I37" t="n">
        <v>1</v>
      </c>
      <c r="J37" t="n">
        <v>0</v>
      </c>
      <c r="K37" t="n">
        <v>0</v>
      </c>
      <c r="L37" t="n">
        <v>0</v>
      </c>
      <c r="M37" t="n">
        <v>0</v>
      </c>
      <c r="N37" t="n">
        <v>0</v>
      </c>
      <c r="O37" t="n">
        <v>0</v>
      </c>
      <c r="P37" t="n">
        <v>0</v>
      </c>
      <c r="Q37" t="n">
        <v>1</v>
      </c>
      <c r="R37" s="2" t="inlineStr">
        <is>
          <t>Vedticka</t>
        </is>
      </c>
      <c r="S37">
        <f>HYPERLINK("https://klasma.github.io/Logging_0136/artfynd/A 32525-2020 artfynd.xlsx", "A 32525-2020")</f>
        <v/>
      </c>
      <c r="T37">
        <f>HYPERLINK("https://klasma.github.io/Logging_0136/kartor/A 32525-2020 karta.png", "A 32525-2020")</f>
        <v/>
      </c>
      <c r="V37">
        <f>HYPERLINK("https://klasma.github.io/Logging_0136/klagomål/A 32525-2020 FSC-klagomål.docx", "A 32525-2020")</f>
        <v/>
      </c>
      <c r="W37">
        <f>HYPERLINK("https://klasma.github.io/Logging_0136/klagomålsmail/A 32525-2020 FSC-klagomål mail.docx", "A 32525-2020")</f>
        <v/>
      </c>
      <c r="X37">
        <f>HYPERLINK("https://klasma.github.io/Logging_0136/tillsyn/A 32525-2020 tillsynsbegäran.docx", "A 32525-2020")</f>
        <v/>
      </c>
      <c r="Y37">
        <f>HYPERLINK("https://klasma.github.io/Logging_0136/tillsynsmail/A 32525-2020 tillsynsbegäran mail.docx", "A 32525-2020")</f>
        <v/>
      </c>
    </row>
    <row r="38" ht="15" customHeight="1">
      <c r="A38" t="inlineStr">
        <is>
          <t>A 1424-2021</t>
        </is>
      </c>
      <c r="B38" s="1" t="n">
        <v>44208</v>
      </c>
      <c r="C38" s="1" t="n">
        <v>45693</v>
      </c>
      <c r="D38" t="inlineStr">
        <is>
          <t>STOCKHOLMS LÄN</t>
        </is>
      </c>
      <c r="E38" t="inlineStr">
        <is>
          <t>HANINGE</t>
        </is>
      </c>
      <c r="G38" t="n">
        <v>1.7</v>
      </c>
      <c r="H38" t="n">
        <v>1</v>
      </c>
      <c r="I38" t="n">
        <v>1</v>
      </c>
      <c r="J38" t="n">
        <v>0</v>
      </c>
      <c r="K38" t="n">
        <v>0</v>
      </c>
      <c r="L38" t="n">
        <v>0</v>
      </c>
      <c r="M38" t="n">
        <v>0</v>
      </c>
      <c r="N38" t="n">
        <v>0</v>
      </c>
      <c r="O38" t="n">
        <v>0</v>
      </c>
      <c r="P38" t="n">
        <v>0</v>
      </c>
      <c r="Q38" t="n">
        <v>1</v>
      </c>
      <c r="R38" s="2" t="inlineStr">
        <is>
          <t>Tvåblad</t>
        </is>
      </c>
      <c r="S38">
        <f>HYPERLINK("https://klasma.github.io/Logging_0136/artfynd/A 1424-2021 artfynd.xlsx", "A 1424-2021")</f>
        <v/>
      </c>
      <c r="T38">
        <f>HYPERLINK("https://klasma.github.io/Logging_0136/kartor/A 1424-2021 karta.png", "A 1424-2021")</f>
        <v/>
      </c>
      <c r="U38">
        <f>HYPERLINK("https://klasma.github.io/Logging_0136/knärot/A 1424-2021 karta knärot.png", "A 1424-2021")</f>
        <v/>
      </c>
      <c r="V38">
        <f>HYPERLINK("https://klasma.github.io/Logging_0136/klagomål/A 1424-2021 FSC-klagomål.docx", "A 1424-2021")</f>
        <v/>
      </c>
      <c r="W38">
        <f>HYPERLINK("https://klasma.github.io/Logging_0136/klagomålsmail/A 1424-2021 FSC-klagomål mail.docx", "A 1424-2021")</f>
        <v/>
      </c>
      <c r="X38">
        <f>HYPERLINK("https://klasma.github.io/Logging_0136/tillsyn/A 1424-2021 tillsynsbegäran.docx", "A 1424-2021")</f>
        <v/>
      </c>
      <c r="Y38">
        <f>HYPERLINK("https://klasma.github.io/Logging_0136/tillsynsmail/A 1424-2021 tillsynsbegäran mail.docx", "A 1424-2021")</f>
        <v/>
      </c>
    </row>
    <row r="39" ht="15" customHeight="1">
      <c r="A39" t="inlineStr">
        <is>
          <t>A 68883-2021</t>
        </is>
      </c>
      <c r="B39" s="1" t="n">
        <v>44526</v>
      </c>
      <c r="C39" s="1" t="n">
        <v>45693</v>
      </c>
      <c r="D39" t="inlineStr">
        <is>
          <t>STOCKHOLMS LÄN</t>
        </is>
      </c>
      <c r="E39" t="inlineStr">
        <is>
          <t>HANINGE</t>
        </is>
      </c>
      <c r="G39" t="n">
        <v>2.5</v>
      </c>
      <c r="H39" t="n">
        <v>1</v>
      </c>
      <c r="I39" t="n">
        <v>0</v>
      </c>
      <c r="J39" t="n">
        <v>0</v>
      </c>
      <c r="K39" t="n">
        <v>0</v>
      </c>
      <c r="L39" t="n">
        <v>0</v>
      </c>
      <c r="M39" t="n">
        <v>0</v>
      </c>
      <c r="N39" t="n">
        <v>0</v>
      </c>
      <c r="O39" t="n">
        <v>0</v>
      </c>
      <c r="P39" t="n">
        <v>0</v>
      </c>
      <c r="Q39" t="n">
        <v>1</v>
      </c>
      <c r="R39" s="2" t="inlineStr">
        <is>
          <t>Nattviol</t>
        </is>
      </c>
      <c r="S39">
        <f>HYPERLINK("https://klasma.github.io/Logging_0136/artfynd/A 68883-2021 artfynd.xlsx", "A 68883-2021")</f>
        <v/>
      </c>
      <c r="T39">
        <f>HYPERLINK("https://klasma.github.io/Logging_0136/kartor/A 68883-2021 karta.png", "A 68883-2021")</f>
        <v/>
      </c>
      <c r="V39">
        <f>HYPERLINK("https://klasma.github.io/Logging_0136/klagomål/A 68883-2021 FSC-klagomål.docx", "A 68883-2021")</f>
        <v/>
      </c>
      <c r="W39">
        <f>HYPERLINK("https://klasma.github.io/Logging_0136/klagomålsmail/A 68883-2021 FSC-klagomål mail.docx", "A 68883-2021")</f>
        <v/>
      </c>
      <c r="X39">
        <f>HYPERLINK("https://klasma.github.io/Logging_0136/tillsyn/A 68883-2021 tillsynsbegäran.docx", "A 68883-2021")</f>
        <v/>
      </c>
      <c r="Y39">
        <f>HYPERLINK("https://klasma.github.io/Logging_0136/tillsynsmail/A 68883-2021 tillsynsbegäran mail.docx", "A 68883-2021")</f>
        <v/>
      </c>
    </row>
    <row r="40" ht="15" customHeight="1">
      <c r="A40" t="inlineStr">
        <is>
          <t>A 2722-2022</t>
        </is>
      </c>
      <c r="B40" s="1" t="n">
        <v>44580</v>
      </c>
      <c r="C40" s="1" t="n">
        <v>45693</v>
      </c>
      <c r="D40" t="inlineStr">
        <is>
          <t>STOCKHOLMS LÄN</t>
        </is>
      </c>
      <c r="E40" t="inlineStr">
        <is>
          <t>HANINGE</t>
        </is>
      </c>
      <c r="G40" t="n">
        <v>1.5</v>
      </c>
      <c r="H40" t="n">
        <v>1</v>
      </c>
      <c r="I40" t="n">
        <v>1</v>
      </c>
      <c r="J40" t="n">
        <v>0</v>
      </c>
      <c r="K40" t="n">
        <v>0</v>
      </c>
      <c r="L40" t="n">
        <v>0</v>
      </c>
      <c r="M40" t="n">
        <v>0</v>
      </c>
      <c r="N40" t="n">
        <v>0</v>
      </c>
      <c r="O40" t="n">
        <v>0</v>
      </c>
      <c r="P40" t="n">
        <v>0</v>
      </c>
      <c r="Q40" t="n">
        <v>1</v>
      </c>
      <c r="R40" s="2" t="inlineStr">
        <is>
          <t>Grön sköldmossa</t>
        </is>
      </c>
      <c r="S40">
        <f>HYPERLINK("https://klasma.github.io/Logging_0136/artfynd/A 2722-2022 artfynd.xlsx", "A 2722-2022")</f>
        <v/>
      </c>
      <c r="T40">
        <f>HYPERLINK("https://klasma.github.io/Logging_0136/kartor/A 2722-2022 karta.png", "A 2722-2022")</f>
        <v/>
      </c>
      <c r="V40">
        <f>HYPERLINK("https://klasma.github.io/Logging_0136/klagomål/A 2722-2022 FSC-klagomål.docx", "A 2722-2022")</f>
        <v/>
      </c>
      <c r="W40">
        <f>HYPERLINK("https://klasma.github.io/Logging_0136/klagomålsmail/A 2722-2022 FSC-klagomål mail.docx", "A 2722-2022")</f>
        <v/>
      </c>
      <c r="X40">
        <f>HYPERLINK("https://klasma.github.io/Logging_0136/tillsyn/A 2722-2022 tillsynsbegäran.docx", "A 2722-2022")</f>
        <v/>
      </c>
      <c r="Y40">
        <f>HYPERLINK("https://klasma.github.io/Logging_0136/tillsynsmail/A 2722-2022 tillsynsbegäran mail.docx", "A 2722-2022")</f>
        <v/>
      </c>
    </row>
    <row r="41" ht="15" customHeight="1">
      <c r="A41" t="inlineStr">
        <is>
          <t>A 34823-2022</t>
        </is>
      </c>
      <c r="B41" s="1" t="n">
        <v>44796</v>
      </c>
      <c r="C41" s="1" t="n">
        <v>45693</v>
      </c>
      <c r="D41" t="inlineStr">
        <is>
          <t>STOCKHOLMS LÄN</t>
        </is>
      </c>
      <c r="E41" t="inlineStr">
        <is>
          <t>HANINGE</t>
        </is>
      </c>
      <c r="G41" t="n">
        <v>12</v>
      </c>
      <c r="H41" t="n">
        <v>0</v>
      </c>
      <c r="I41" t="n">
        <v>0</v>
      </c>
      <c r="J41" t="n">
        <v>0</v>
      </c>
      <c r="K41" t="n">
        <v>1</v>
      </c>
      <c r="L41" t="n">
        <v>0</v>
      </c>
      <c r="M41" t="n">
        <v>0</v>
      </c>
      <c r="N41" t="n">
        <v>0</v>
      </c>
      <c r="O41" t="n">
        <v>1</v>
      </c>
      <c r="P41" t="n">
        <v>1</v>
      </c>
      <c r="Q41" t="n">
        <v>1</v>
      </c>
      <c r="R41" s="2" t="inlineStr">
        <is>
          <t>Mörk kraterlav</t>
        </is>
      </c>
      <c r="S41">
        <f>HYPERLINK("https://klasma.github.io/Logging_0136/artfynd/A 34823-2022 artfynd.xlsx", "A 34823-2022")</f>
        <v/>
      </c>
      <c r="T41">
        <f>HYPERLINK("https://klasma.github.io/Logging_0136/kartor/A 34823-2022 karta.png", "A 34823-2022")</f>
        <v/>
      </c>
      <c r="V41">
        <f>HYPERLINK("https://klasma.github.io/Logging_0136/klagomål/A 34823-2022 FSC-klagomål.docx", "A 34823-2022")</f>
        <v/>
      </c>
      <c r="W41">
        <f>HYPERLINK("https://klasma.github.io/Logging_0136/klagomålsmail/A 34823-2022 FSC-klagomål mail.docx", "A 34823-2022")</f>
        <v/>
      </c>
      <c r="X41">
        <f>HYPERLINK("https://klasma.github.io/Logging_0136/tillsyn/A 34823-2022 tillsynsbegäran.docx", "A 34823-2022")</f>
        <v/>
      </c>
      <c r="Y41">
        <f>HYPERLINK("https://klasma.github.io/Logging_0136/tillsynsmail/A 34823-2022 tillsynsbegäran mail.docx", "A 34823-2022")</f>
        <v/>
      </c>
    </row>
    <row r="42" ht="15" customHeight="1">
      <c r="A42" t="inlineStr">
        <is>
          <t>A 37004-2022</t>
        </is>
      </c>
      <c r="B42" s="1" t="n">
        <v>44806</v>
      </c>
      <c r="C42" s="1" t="n">
        <v>45693</v>
      </c>
      <c r="D42" t="inlineStr">
        <is>
          <t>STOCKHOLMS LÄN</t>
        </is>
      </c>
      <c r="E42" t="inlineStr">
        <is>
          <t>HANINGE</t>
        </is>
      </c>
      <c r="F42" t="inlineStr">
        <is>
          <t>Övriga statliga verk och myndigheter</t>
        </is>
      </c>
      <c r="G42" t="n">
        <v>4.4</v>
      </c>
      <c r="H42" t="n">
        <v>1</v>
      </c>
      <c r="I42" t="n">
        <v>1</v>
      </c>
      <c r="J42" t="n">
        <v>0</v>
      </c>
      <c r="K42" t="n">
        <v>0</v>
      </c>
      <c r="L42" t="n">
        <v>0</v>
      </c>
      <c r="M42" t="n">
        <v>0</v>
      </c>
      <c r="N42" t="n">
        <v>0</v>
      </c>
      <c r="O42" t="n">
        <v>0</v>
      </c>
      <c r="P42" t="n">
        <v>0</v>
      </c>
      <c r="Q42" t="n">
        <v>1</v>
      </c>
      <c r="R42" s="2" t="inlineStr">
        <is>
          <t>Skogsknipprot</t>
        </is>
      </c>
      <c r="S42">
        <f>HYPERLINK("https://klasma.github.io/Logging_0136/artfynd/A 37004-2022 artfynd.xlsx", "A 37004-2022")</f>
        <v/>
      </c>
      <c r="T42">
        <f>HYPERLINK("https://klasma.github.io/Logging_0136/kartor/A 37004-2022 karta.png", "A 37004-2022")</f>
        <v/>
      </c>
      <c r="V42">
        <f>HYPERLINK("https://klasma.github.io/Logging_0136/klagomål/A 37004-2022 FSC-klagomål.docx", "A 37004-2022")</f>
        <v/>
      </c>
      <c r="W42">
        <f>HYPERLINK("https://klasma.github.io/Logging_0136/klagomålsmail/A 37004-2022 FSC-klagomål mail.docx", "A 37004-2022")</f>
        <v/>
      </c>
      <c r="X42">
        <f>HYPERLINK("https://klasma.github.io/Logging_0136/tillsyn/A 37004-2022 tillsynsbegäran.docx", "A 37004-2022")</f>
        <v/>
      </c>
      <c r="Y42">
        <f>HYPERLINK("https://klasma.github.io/Logging_0136/tillsynsmail/A 37004-2022 tillsynsbegäran mail.docx", "A 37004-2022")</f>
        <v/>
      </c>
    </row>
    <row r="43" ht="15" customHeight="1">
      <c r="A43" t="inlineStr">
        <is>
          <t>A 39636-2022</t>
        </is>
      </c>
      <c r="B43" s="1" t="n">
        <v>44818</v>
      </c>
      <c r="C43" s="1" t="n">
        <v>45693</v>
      </c>
      <c r="D43" t="inlineStr">
        <is>
          <t>STOCKHOLMS LÄN</t>
        </is>
      </c>
      <c r="E43" t="inlineStr">
        <is>
          <t>HANINGE</t>
        </is>
      </c>
      <c r="G43" t="n">
        <v>2</v>
      </c>
      <c r="H43" t="n">
        <v>0</v>
      </c>
      <c r="I43" t="n">
        <v>0</v>
      </c>
      <c r="J43" t="n">
        <v>0</v>
      </c>
      <c r="K43" t="n">
        <v>1</v>
      </c>
      <c r="L43" t="n">
        <v>0</v>
      </c>
      <c r="M43" t="n">
        <v>0</v>
      </c>
      <c r="N43" t="n">
        <v>0</v>
      </c>
      <c r="O43" t="n">
        <v>1</v>
      </c>
      <c r="P43" t="n">
        <v>1</v>
      </c>
      <c r="Q43" t="n">
        <v>1</v>
      </c>
      <c r="R43" s="2" t="inlineStr">
        <is>
          <t>Koppartaggsvamp</t>
        </is>
      </c>
      <c r="S43">
        <f>HYPERLINK("https://klasma.github.io/Logging_0136/artfynd/A 39636-2022 artfynd.xlsx", "A 39636-2022")</f>
        <v/>
      </c>
      <c r="T43">
        <f>HYPERLINK("https://klasma.github.io/Logging_0136/kartor/A 39636-2022 karta.png", "A 39636-2022")</f>
        <v/>
      </c>
      <c r="V43">
        <f>HYPERLINK("https://klasma.github.io/Logging_0136/klagomål/A 39636-2022 FSC-klagomål.docx", "A 39636-2022")</f>
        <v/>
      </c>
      <c r="W43">
        <f>HYPERLINK("https://klasma.github.io/Logging_0136/klagomålsmail/A 39636-2022 FSC-klagomål mail.docx", "A 39636-2022")</f>
        <v/>
      </c>
      <c r="X43">
        <f>HYPERLINK("https://klasma.github.io/Logging_0136/tillsyn/A 39636-2022 tillsynsbegäran.docx", "A 39636-2022")</f>
        <v/>
      </c>
      <c r="Y43">
        <f>HYPERLINK("https://klasma.github.io/Logging_0136/tillsynsmail/A 39636-2022 tillsynsbegäran mail.docx", "A 39636-2022")</f>
        <v/>
      </c>
    </row>
    <row r="44" ht="15" customHeight="1">
      <c r="A44" t="inlineStr">
        <is>
          <t>A 60299-2023</t>
        </is>
      </c>
      <c r="B44" s="1" t="n">
        <v>45258</v>
      </c>
      <c r="C44" s="1" t="n">
        <v>45693</v>
      </c>
      <c r="D44" t="inlineStr">
        <is>
          <t>STOCKHOLMS LÄN</t>
        </is>
      </c>
      <c r="E44" t="inlineStr">
        <is>
          <t>HANINGE</t>
        </is>
      </c>
      <c r="G44" t="n">
        <v>1.3</v>
      </c>
      <c r="H44" t="n">
        <v>0</v>
      </c>
      <c r="I44" t="n">
        <v>1</v>
      </c>
      <c r="J44" t="n">
        <v>0</v>
      </c>
      <c r="K44" t="n">
        <v>0</v>
      </c>
      <c r="L44" t="n">
        <v>0</v>
      </c>
      <c r="M44" t="n">
        <v>0</v>
      </c>
      <c r="N44" t="n">
        <v>0</v>
      </c>
      <c r="O44" t="n">
        <v>0</v>
      </c>
      <c r="P44" t="n">
        <v>0</v>
      </c>
      <c r="Q44" t="n">
        <v>1</v>
      </c>
      <c r="R44" s="2" t="inlineStr">
        <is>
          <t>Mörk husmossa</t>
        </is>
      </c>
      <c r="S44">
        <f>HYPERLINK("https://klasma.github.io/Logging_0136/artfynd/A 60299-2023 artfynd.xlsx", "A 60299-2023")</f>
        <v/>
      </c>
      <c r="T44">
        <f>HYPERLINK("https://klasma.github.io/Logging_0136/kartor/A 60299-2023 karta.png", "A 60299-2023")</f>
        <v/>
      </c>
      <c r="V44">
        <f>HYPERLINK("https://klasma.github.io/Logging_0136/klagomål/A 60299-2023 FSC-klagomål.docx", "A 60299-2023")</f>
        <v/>
      </c>
      <c r="W44">
        <f>HYPERLINK("https://klasma.github.io/Logging_0136/klagomålsmail/A 60299-2023 FSC-klagomål mail.docx", "A 60299-2023")</f>
        <v/>
      </c>
      <c r="X44">
        <f>HYPERLINK("https://klasma.github.io/Logging_0136/tillsyn/A 60299-2023 tillsynsbegäran.docx", "A 60299-2023")</f>
        <v/>
      </c>
      <c r="Y44">
        <f>HYPERLINK("https://klasma.github.io/Logging_0136/tillsynsmail/A 60299-2023 tillsynsbegäran mail.docx", "A 60299-2023")</f>
        <v/>
      </c>
    </row>
    <row r="45" ht="15" customHeight="1">
      <c r="A45" t="inlineStr">
        <is>
          <t>A 60369-2023</t>
        </is>
      </c>
      <c r="B45" s="1" t="n">
        <v>45259</v>
      </c>
      <c r="C45" s="1" t="n">
        <v>45693</v>
      </c>
      <c r="D45" t="inlineStr">
        <is>
          <t>STOCKHOLMS LÄN</t>
        </is>
      </c>
      <c r="E45" t="inlineStr">
        <is>
          <t>HANINGE</t>
        </is>
      </c>
      <c r="G45" t="n">
        <v>2.9</v>
      </c>
      <c r="H45" t="n">
        <v>1</v>
      </c>
      <c r="I45" t="n">
        <v>0</v>
      </c>
      <c r="J45" t="n">
        <v>0</v>
      </c>
      <c r="K45" t="n">
        <v>0</v>
      </c>
      <c r="L45" t="n">
        <v>0</v>
      </c>
      <c r="M45" t="n">
        <v>0</v>
      </c>
      <c r="N45" t="n">
        <v>0</v>
      </c>
      <c r="O45" t="n">
        <v>0</v>
      </c>
      <c r="P45" t="n">
        <v>0</v>
      </c>
      <c r="Q45" t="n">
        <v>1</v>
      </c>
      <c r="R45" s="2" t="inlineStr">
        <is>
          <t>Mattlummer</t>
        </is>
      </c>
      <c r="S45">
        <f>HYPERLINK("https://klasma.github.io/Logging_0136/artfynd/A 60369-2023 artfynd.xlsx", "A 60369-2023")</f>
        <v/>
      </c>
      <c r="T45">
        <f>HYPERLINK("https://klasma.github.io/Logging_0136/kartor/A 60369-2023 karta.png", "A 60369-2023")</f>
        <v/>
      </c>
      <c r="V45">
        <f>HYPERLINK("https://klasma.github.io/Logging_0136/klagomål/A 60369-2023 FSC-klagomål.docx", "A 60369-2023")</f>
        <v/>
      </c>
      <c r="W45">
        <f>HYPERLINK("https://klasma.github.io/Logging_0136/klagomålsmail/A 60369-2023 FSC-klagomål mail.docx", "A 60369-2023")</f>
        <v/>
      </c>
      <c r="X45">
        <f>HYPERLINK("https://klasma.github.io/Logging_0136/tillsyn/A 60369-2023 tillsynsbegäran.docx", "A 60369-2023")</f>
        <v/>
      </c>
      <c r="Y45">
        <f>HYPERLINK("https://klasma.github.io/Logging_0136/tillsynsmail/A 60369-2023 tillsynsbegäran mail.docx", "A 60369-2023")</f>
        <v/>
      </c>
    </row>
    <row r="46" ht="15" customHeight="1">
      <c r="A46" t="inlineStr">
        <is>
          <t>A 3952-2024</t>
        </is>
      </c>
      <c r="B46" s="1" t="n">
        <v>45322</v>
      </c>
      <c r="C46" s="1" t="n">
        <v>45693</v>
      </c>
      <c r="D46" t="inlineStr">
        <is>
          <t>STOCKHOLMS LÄN</t>
        </is>
      </c>
      <c r="E46" t="inlineStr">
        <is>
          <t>HANINGE</t>
        </is>
      </c>
      <c r="G46" t="n">
        <v>1.7</v>
      </c>
      <c r="H46" t="n">
        <v>1</v>
      </c>
      <c r="I46" t="n">
        <v>0</v>
      </c>
      <c r="J46" t="n">
        <v>0</v>
      </c>
      <c r="K46" t="n">
        <v>0</v>
      </c>
      <c r="L46" t="n">
        <v>0</v>
      </c>
      <c r="M46" t="n">
        <v>0</v>
      </c>
      <c r="N46" t="n">
        <v>0</v>
      </c>
      <c r="O46" t="n">
        <v>0</v>
      </c>
      <c r="P46" t="n">
        <v>0</v>
      </c>
      <c r="Q46" t="n">
        <v>1</v>
      </c>
      <c r="R46" s="2" t="inlineStr">
        <is>
          <t>Sångsvan</t>
        </is>
      </c>
      <c r="S46">
        <f>HYPERLINK("https://klasma.github.io/Logging_0136/artfynd/A 3952-2024 artfynd.xlsx", "A 3952-2024")</f>
        <v/>
      </c>
      <c r="T46">
        <f>HYPERLINK("https://klasma.github.io/Logging_0136/kartor/A 3952-2024 karta.png", "A 3952-2024")</f>
        <v/>
      </c>
      <c r="V46">
        <f>HYPERLINK("https://klasma.github.io/Logging_0136/klagomål/A 3952-2024 FSC-klagomål.docx", "A 3952-2024")</f>
        <v/>
      </c>
      <c r="W46">
        <f>HYPERLINK("https://klasma.github.io/Logging_0136/klagomålsmail/A 3952-2024 FSC-klagomål mail.docx", "A 3952-2024")</f>
        <v/>
      </c>
      <c r="X46">
        <f>HYPERLINK("https://klasma.github.io/Logging_0136/tillsyn/A 3952-2024 tillsynsbegäran.docx", "A 3952-2024")</f>
        <v/>
      </c>
      <c r="Y46">
        <f>HYPERLINK("https://klasma.github.io/Logging_0136/tillsynsmail/A 3952-2024 tillsynsbegäran mail.docx", "A 3952-2024")</f>
        <v/>
      </c>
      <c r="Z46">
        <f>HYPERLINK("https://klasma.github.io/Logging_0136/fåglar/A 3952-2024 prioriterade fågelarter.docx", "A 3952-2024")</f>
        <v/>
      </c>
    </row>
    <row r="47" ht="15" customHeight="1">
      <c r="A47" t="inlineStr">
        <is>
          <t>A 2238-2025</t>
        </is>
      </c>
      <c r="B47" s="1" t="n">
        <v>45672</v>
      </c>
      <c r="C47" s="1" t="n">
        <v>45693</v>
      </c>
      <c r="D47" t="inlineStr">
        <is>
          <t>STOCKHOLMS LÄN</t>
        </is>
      </c>
      <c r="E47" t="inlineStr">
        <is>
          <t>HANINGE</t>
        </is>
      </c>
      <c r="G47" t="n">
        <v>1</v>
      </c>
      <c r="H47" t="n">
        <v>1</v>
      </c>
      <c r="I47" t="n">
        <v>0</v>
      </c>
      <c r="J47" t="n">
        <v>0</v>
      </c>
      <c r="K47" t="n">
        <v>0</v>
      </c>
      <c r="L47" t="n">
        <v>0</v>
      </c>
      <c r="M47" t="n">
        <v>0</v>
      </c>
      <c r="N47" t="n">
        <v>0</v>
      </c>
      <c r="O47" t="n">
        <v>0</v>
      </c>
      <c r="P47" t="n">
        <v>0</v>
      </c>
      <c r="Q47" t="n">
        <v>1</v>
      </c>
      <c r="R47" s="2" t="inlineStr">
        <is>
          <t>Revlummer</t>
        </is>
      </c>
      <c r="S47">
        <f>HYPERLINK("https://klasma.github.io/Logging_0136/artfynd/A 2238-2025 artfynd.xlsx", "A 2238-2025")</f>
        <v/>
      </c>
      <c r="T47">
        <f>HYPERLINK("https://klasma.github.io/Logging_0136/kartor/A 2238-2025 karta.png", "A 2238-2025")</f>
        <v/>
      </c>
      <c r="V47">
        <f>HYPERLINK("https://klasma.github.io/Logging_0136/klagomål/A 2238-2025 FSC-klagomål.docx", "A 2238-2025")</f>
        <v/>
      </c>
      <c r="W47">
        <f>HYPERLINK("https://klasma.github.io/Logging_0136/klagomålsmail/A 2238-2025 FSC-klagomål mail.docx", "A 2238-2025")</f>
        <v/>
      </c>
      <c r="X47">
        <f>HYPERLINK("https://klasma.github.io/Logging_0136/tillsyn/A 2238-2025 tillsynsbegäran.docx", "A 2238-2025")</f>
        <v/>
      </c>
      <c r="Y47">
        <f>HYPERLINK("https://klasma.github.io/Logging_0136/tillsynsmail/A 2238-2025 tillsynsbegäran mail.docx", "A 2238-2025")</f>
        <v/>
      </c>
    </row>
    <row r="48" ht="15" customHeight="1">
      <c r="A48" t="inlineStr">
        <is>
          <t>A 34656-2019</t>
        </is>
      </c>
      <c r="B48" s="1" t="n">
        <v>43657</v>
      </c>
      <c r="C48" s="1" t="n">
        <v>45693</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45693</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45693</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45693</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45693</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45693</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45693</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45693</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45693</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45693</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45693</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45693</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45693</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45693</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45693</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45693</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45693</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45693</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45693</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45693</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45693</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45693</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45693</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45693</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45693</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45693</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45693</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45693</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45693</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45693</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45693</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45693</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45693</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45693</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45693</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45693</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45693</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45693</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45693</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45693</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45693</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45693</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45693</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45693</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45693</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45693</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45693</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45693</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45693</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45693</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45693</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45693</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45693</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45693</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45693</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45693</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45693</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45693</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45693</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45693</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45693</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45693</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45693</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45693</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45693</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45693</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45693</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45693</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45693</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45693</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45693</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45693</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45693</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45693</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45693</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45693</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45693</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45693</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45693</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45693</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45693</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45693</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45693</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45693</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45693</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45693</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45693</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45693</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45693</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45693</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45693</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45693</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45693</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45693</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45693</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45693</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45693</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45693</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45693</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2025-02-05T16:18:40Z</dcterms:created>
  <dcterms:modified xmlns:dcterms="http://purl.org/dc/terms/" xmlns:xsi="http://www.w3.org/2001/XMLSchema-instance" xsi:type="dcterms:W3CDTF">2025-02-05T16:18:41Z</dcterms:modified>
</cp:coreProperties>
</file>