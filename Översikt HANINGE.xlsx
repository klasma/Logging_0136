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46299</v>
      </c>
      <c r="F3" t="inlineStr">
        <is>
          <t>STOCKHOLMS LÄN</t>
        </is>
      </c>
      <c r="G3" t="inlineStr">
        <is>
          <t>HANINGE</t>
        </is>
      </c>
      <c r="I3" t="n">
        <v>19.9</v>
      </c>
      <c r="J3" t="n">
        <v>23</v>
      </c>
      <c r="K3" t="n">
        <v>21</v>
      </c>
      <c r="L3" t="n">
        <v>18</v>
      </c>
      <c r="M3" t="n">
        <v>7</v>
      </c>
      <c r="N3" t="n">
        <v>0</v>
      </c>
      <c r="O3" t="n">
        <v>0</v>
      </c>
      <c r="P3" t="n">
        <v>0</v>
      </c>
      <c r="Q3" t="n">
        <v>25</v>
      </c>
      <c r="R3" t="n">
        <v>7</v>
      </c>
      <c r="S3" t="n">
        <v>63</v>
      </c>
      <c r="T3" t="n">
        <v>278</v>
      </c>
      <c r="U3" t="n">
        <v>143</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46299</v>
      </c>
      <c r="F4" t="inlineStr">
        <is>
          <t>STOCKHOLMS LÄN</t>
        </is>
      </c>
      <c r="G4" t="inlineStr">
        <is>
          <t>HANINGE</t>
        </is>
      </c>
      <c r="I4" t="n">
        <v>19.8</v>
      </c>
      <c r="J4" t="n">
        <v>22</v>
      </c>
      <c r="K4" t="n">
        <v>21</v>
      </c>
      <c r="L4" t="n">
        <v>18</v>
      </c>
      <c r="M4" t="n">
        <v>7</v>
      </c>
      <c r="N4" t="n">
        <v>0</v>
      </c>
      <c r="O4" t="n">
        <v>0</v>
      </c>
      <c r="P4" t="n">
        <v>0</v>
      </c>
      <c r="Q4" t="n">
        <v>25</v>
      </c>
      <c r="R4" t="n">
        <v>7</v>
      </c>
      <c r="S4" t="n">
        <v>59</v>
      </c>
      <c r="T4" t="n">
        <v>273</v>
      </c>
      <c r="U4" t="n">
        <v>182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46299</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46299</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46299</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46299</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46299</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46299</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46299</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46299</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46299</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46299</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46299</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46299</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46299</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46299</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46299</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46299</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46299</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59570-2025</t>
        </is>
      </c>
      <c r="B23" t="inlineStr">
        <is>
          <t>avverkningsanmälan</t>
        </is>
      </c>
      <c r="C23" t="inlineStr">
        <is>
          <t>Föryngringsavverkning</t>
        </is>
      </c>
      <c r="D23" s="1" t="n">
        <v>45991</v>
      </c>
      <c r="E23" s="1" t="n">
        <v>46299</v>
      </c>
      <c r="F23" t="inlineStr">
        <is>
          <t>STOCKHOLMS LÄN</t>
        </is>
      </c>
      <c r="G23" t="inlineStr">
        <is>
          <t>HANINGE</t>
        </is>
      </c>
      <c r="I23" t="n">
        <v>2.3</v>
      </c>
      <c r="J23" t="n">
        <v>1</v>
      </c>
      <c r="K23" t="n">
        <v>0</v>
      </c>
      <c r="L23" t="n">
        <v>0</v>
      </c>
      <c r="M23" t="n">
        <v>0</v>
      </c>
      <c r="N23" t="n">
        <v>0</v>
      </c>
      <c r="O23" t="n">
        <v>0</v>
      </c>
      <c r="P23" t="n">
        <v>0</v>
      </c>
      <c r="Q23" t="n">
        <v>0</v>
      </c>
      <c r="R23" t="n">
        <v>0</v>
      </c>
      <c r="S23" t="n">
        <v>1</v>
      </c>
      <c r="T23" t="n">
        <v>1</v>
      </c>
      <c r="U23" t="n">
        <v>0</v>
      </c>
      <c r="V23" s="2" t="inlineStr">
        <is>
          <t>Fjällvråk</t>
        </is>
      </c>
      <c r="W23">
        <f>HYPERLINK("https://klasma.github.io/Logging_0136/artfynd/A 59570-2025 artfynd.xlsx", "A 59570-2025")</f>
        <v/>
      </c>
      <c r="X23">
        <f>HYPERLINK("https://klasma.github.io/Logging_0136/kartor/A 59570-2025 karta.png", "A 59570-2025")</f>
        <v/>
      </c>
      <c r="Y23">
        <f>HYPERLINK("https://klasma.github.io/Logging_0136/kartor_geotiff/A 59570-2025 georefererad karta.tif", "A 59570-2025")</f>
        <v/>
      </c>
      <c r="AA23">
        <f>HYPERLINK("https://klasma.github.io/Logging_0136/klagomål/A 59570-2025 FSC-klagomål.docx", "A 59570-2025")</f>
        <v/>
      </c>
      <c r="AB23">
        <f>HYPERLINK("https://klasma.github.io/Logging_0136/klagomålsmail/A 59570-2025 FSC-klagomål mail.docx", "A 59570-2025")</f>
        <v/>
      </c>
      <c r="AC23">
        <f>HYPERLINK("https://klasma.github.io/Logging_0136/tillsyn/A 59570-2025 tillsynsbegäran.docx", "A 59570-2025")</f>
        <v/>
      </c>
      <c r="AD23">
        <f>HYPERLINK("https://klasma.github.io/Logging_0136/tillsynsmail/A 59570-2025 tillsynsbegäran mail.docx", "A 59570-2025")</f>
        <v/>
      </c>
      <c r="AE23">
        <f>HYPERLINK("https://klasma.github.io/Logging_0136/fåglar/A 59570-2025 prioriterade fågelarter.docx", "A 59570-2025")</f>
        <v/>
      </c>
    </row>
    <row r="24" ht="15" customHeight="1">
      <c r="A24" t="inlineStr">
        <is>
          <t>A 34823-2022</t>
        </is>
      </c>
      <c r="B24" t="inlineStr">
        <is>
          <t>avverkningsanmälan</t>
        </is>
      </c>
      <c r="C24" t="inlineStr">
        <is>
          <t>Föryngringsavverkning</t>
        </is>
      </c>
      <c r="D24" s="1" t="n">
        <v>44796</v>
      </c>
      <c r="E24" s="1" t="n">
        <v>46299</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6648-2023</t>
        </is>
      </c>
      <c r="B25" t="inlineStr">
        <is>
          <t>avverkningsanmälan</t>
        </is>
      </c>
      <c r="C25" t="inlineStr">
        <is>
          <t>Föryngringsavverkning</t>
        </is>
      </c>
      <c r="D25" s="1" t="n">
        <v>44966</v>
      </c>
      <c r="E25" s="1" t="n">
        <v>46299</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60369-2023</t>
        </is>
      </c>
      <c r="B26" t="inlineStr">
        <is>
          <t>avverkningsanmälan</t>
        </is>
      </c>
      <c r="C26" t="inlineStr">
        <is>
          <t>Föryngringsavverkning</t>
        </is>
      </c>
      <c r="D26" s="1" t="n">
        <v>45259</v>
      </c>
      <c r="E26" s="1" t="n">
        <v>46299</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32479-2026</t>
        </is>
      </c>
      <c r="B27" t="inlineStr">
        <is>
          <t>avverkningsanmälan</t>
        </is>
      </c>
      <c r="C27" t="inlineStr">
        <is>
          <t>Föryngringsavverkning</t>
        </is>
      </c>
      <c r="D27" s="1" t="n">
        <v>46239</v>
      </c>
      <c r="E27" s="1" t="n">
        <v>46299</v>
      </c>
      <c r="F27" t="inlineStr">
        <is>
          <t>STOCKHOLMS LÄN</t>
        </is>
      </c>
      <c r="G27" t="inlineStr">
        <is>
          <t>HANINGE</t>
        </is>
      </c>
      <c r="I27" t="n">
        <v>6.9</v>
      </c>
      <c r="J27" t="n">
        <v>0</v>
      </c>
      <c r="K27" t="n">
        <v>1</v>
      </c>
      <c r="L27" t="n">
        <v>0</v>
      </c>
      <c r="M27" t="n">
        <v>0</v>
      </c>
      <c r="N27" t="n">
        <v>0</v>
      </c>
      <c r="O27" t="n">
        <v>0</v>
      </c>
      <c r="P27" t="n">
        <v>0</v>
      </c>
      <c r="Q27" t="n">
        <v>0</v>
      </c>
      <c r="R27" t="n">
        <v>0</v>
      </c>
      <c r="S27" t="n">
        <v>1</v>
      </c>
      <c r="T27" t="n">
        <v>1</v>
      </c>
      <c r="U27" t="n">
        <v>0</v>
      </c>
      <c r="V27" s="2" t="inlineStr">
        <is>
          <t>Kambräken</t>
        </is>
      </c>
      <c r="W27">
        <f>HYPERLINK("https://klasma.github.io/Logging_0136/artfynd/A 32479-2026 artfynd.xlsx", "A 32479-2026")</f>
        <v/>
      </c>
      <c r="X27">
        <f>HYPERLINK("https://klasma.github.io/Logging_0136/kartor/A 32479-2026 karta.png", "A 32479-2026")</f>
        <v/>
      </c>
      <c r="Y27">
        <f>HYPERLINK("https://klasma.github.io/Logging_0136/kartor_geotiff/A 32479-2026 georefererad karta.tif", "A 32479-2026")</f>
        <v/>
      </c>
      <c r="AA27">
        <f>HYPERLINK("https://klasma.github.io/Logging_0136/klagomål/A 32479-2026 FSC-klagomål.docx", "A 32479-2026")</f>
        <v/>
      </c>
      <c r="AB27">
        <f>HYPERLINK("https://klasma.github.io/Logging_0136/klagomålsmail/A 32479-2026 FSC-klagomål mail.docx", "A 32479-2026")</f>
        <v/>
      </c>
      <c r="AC27">
        <f>HYPERLINK("https://klasma.github.io/Logging_0136/tillsyn/A 32479-2026 tillsynsbegäran.docx", "A 32479-2026")</f>
        <v/>
      </c>
      <c r="AD27">
        <f>HYPERLINK("https://klasma.github.io/Logging_0136/tillsynsmail/A 32479-2026 tillsynsbegäran mail.docx", "A 32479-2026")</f>
        <v/>
      </c>
    </row>
    <row r="28" ht="15" customHeight="1">
      <c r="A28" t="inlineStr">
        <is>
          <t>A 41259-2022</t>
        </is>
      </c>
      <c r="B28" t="inlineStr">
        <is>
          <t>avverkningsanmälan</t>
        </is>
      </c>
      <c r="C28" t="inlineStr">
        <is>
          <t>Föryngringsavverkning</t>
        </is>
      </c>
      <c r="D28" s="1" t="n">
        <v>44825</v>
      </c>
      <c r="E28" s="1" t="n">
        <v>46299</v>
      </c>
      <c r="F28" t="inlineStr">
        <is>
          <t>STOCKHOLMS LÄN</t>
        </is>
      </c>
      <c r="G28" t="inlineStr">
        <is>
          <t>HANINGE</t>
        </is>
      </c>
      <c r="H28" t="inlineStr">
        <is>
          <t>Övriga statliga verk och myndigheter</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41263-2022</t>
        </is>
      </c>
      <c r="B29" t="inlineStr">
        <is>
          <t>avverkningsanmälan</t>
        </is>
      </c>
      <c r="C29" t="inlineStr">
        <is>
          <t>Föryngringsavverkning</t>
        </is>
      </c>
      <c r="D29" s="1" t="n">
        <v>44825</v>
      </c>
      <c r="E29" s="1" t="n">
        <v>46299</v>
      </c>
      <c r="F29" t="inlineStr">
        <is>
          <t>STOCKHOLMS LÄN</t>
        </is>
      </c>
      <c r="G29" t="inlineStr">
        <is>
          <t>HANINGE</t>
        </is>
      </c>
      <c r="H29" t="inlineStr">
        <is>
          <t>Övriga statliga verk och myndigheter</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45501-2022</t>
        </is>
      </c>
      <c r="B30" t="inlineStr">
        <is>
          <t>avverkningsanmälan</t>
        </is>
      </c>
      <c r="C30" t="inlineStr">
        <is>
          <t>Föryngringsavverkning</t>
        </is>
      </c>
      <c r="D30" s="1" t="n">
        <v>44845</v>
      </c>
      <c r="E30" s="1" t="n">
        <v>46299</v>
      </c>
      <c r="F30" t="inlineStr">
        <is>
          <t>STOCKHOLMS LÄN</t>
        </is>
      </c>
      <c r="G30" t="inlineStr">
        <is>
          <t>HANINGE</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45498-2022</t>
        </is>
      </c>
      <c r="B31" t="inlineStr">
        <is>
          <t>avverkningsanmälan</t>
        </is>
      </c>
      <c r="C31" t="inlineStr">
        <is>
          <t>Föryngringsavverkning</t>
        </is>
      </c>
      <c r="D31" s="1" t="n">
        <v>44845</v>
      </c>
      <c r="E31" s="1" t="n">
        <v>46299</v>
      </c>
      <c r="F31" t="inlineStr">
        <is>
          <t>STOCKHOLMS LÄN</t>
        </is>
      </c>
      <c r="G31" t="inlineStr">
        <is>
          <t>HANINGE</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55853-2021</t>
        </is>
      </c>
      <c r="B32" t="inlineStr">
        <is>
          <t>avverkningsanmälan</t>
        </is>
      </c>
      <c r="C32" t="inlineStr">
        <is>
          <t>Föryngringsavverkning</t>
        </is>
      </c>
      <c r="D32" s="1" t="n">
        <v>44476</v>
      </c>
      <c r="E32" s="1" t="n">
        <v>46299</v>
      </c>
      <c r="F32" t="inlineStr">
        <is>
          <t>STOCKHOLMS LÄN</t>
        </is>
      </c>
      <c r="G32" t="inlineStr">
        <is>
          <t>HANINGE</t>
        </is>
      </c>
      <c r="H32" t="inlineStr">
        <is>
          <t>Kommuner</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46299</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55861-2021</t>
        </is>
      </c>
      <c r="B34" t="inlineStr">
        <is>
          <t>avverkningsanmälan</t>
        </is>
      </c>
      <c r="C34" t="inlineStr">
        <is>
          <t>Föryngringsavverkning</t>
        </is>
      </c>
      <c r="D34" s="1" t="n">
        <v>44476</v>
      </c>
      <c r="E34" s="1" t="n">
        <v>46299</v>
      </c>
      <c r="F34" t="inlineStr">
        <is>
          <t>STOCKHOLMS LÄN</t>
        </is>
      </c>
      <c r="G34" t="inlineStr">
        <is>
          <t>HANINGE</t>
        </is>
      </c>
      <c r="H34" t="inlineStr">
        <is>
          <t>Kommuner</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41266-2022</t>
        </is>
      </c>
      <c r="B35" t="inlineStr">
        <is>
          <t>avverkningsanmälan</t>
        </is>
      </c>
      <c r="C35" t="inlineStr">
        <is>
          <t>Föryngringsavverkning</t>
        </is>
      </c>
      <c r="D35" s="1" t="n">
        <v>44825</v>
      </c>
      <c r="E35" s="1" t="n">
        <v>46299</v>
      </c>
      <c r="F35" t="inlineStr">
        <is>
          <t>STOCKHOLMS LÄN</t>
        </is>
      </c>
      <c r="G35" t="inlineStr">
        <is>
          <t>HANINGE</t>
        </is>
      </c>
      <c r="H35" t="inlineStr">
        <is>
          <t>Övriga statliga verk och myndigheter</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13135-2022</t>
        </is>
      </c>
      <c r="B36" t="inlineStr">
        <is>
          <t>avverkningsanmälan</t>
        </is>
      </c>
      <c r="C36" t="inlineStr">
        <is>
          <t>Föryngringsavverkning</t>
        </is>
      </c>
      <c r="D36" s="1" t="n">
        <v>44643</v>
      </c>
      <c r="E36" s="1" t="n">
        <v>46299</v>
      </c>
      <c r="F36" t="inlineStr">
        <is>
          <t>STOCKHOLMS LÄN</t>
        </is>
      </c>
      <c r="G36" t="inlineStr">
        <is>
          <t>HANINGE</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30419-2022</t>
        </is>
      </c>
      <c r="B37" t="inlineStr">
        <is>
          <t>avverkningsanmälan</t>
        </is>
      </c>
      <c r="C37" t="inlineStr">
        <is>
          <t>Föryngringsavverkning</t>
        </is>
      </c>
      <c r="D37" s="1" t="n">
        <v>44761</v>
      </c>
      <c r="E37" s="1" t="n">
        <v>46299</v>
      </c>
      <c r="F37" t="inlineStr">
        <is>
          <t>STOCKHOLMS LÄN</t>
        </is>
      </c>
      <c r="G37" t="inlineStr">
        <is>
          <t>HANINGE</t>
        </is>
      </c>
      <c r="I37" t="n">
        <v>7.4</v>
      </c>
      <c r="J37" t="n">
        <v>0</v>
      </c>
      <c r="K37" t="n">
        <v>0</v>
      </c>
      <c r="L37" t="n">
        <v>0</v>
      </c>
      <c r="M37" t="n">
        <v>0</v>
      </c>
      <c r="N37" t="n">
        <v>0</v>
      </c>
      <c r="O37" t="n">
        <v>0</v>
      </c>
      <c r="P37" t="n">
        <v>0</v>
      </c>
      <c r="Q37" t="n">
        <v>0</v>
      </c>
      <c r="R37" t="n">
        <v>0</v>
      </c>
      <c r="S37" t="n">
        <v>0</v>
      </c>
      <c r="T37" t="n">
        <v>0</v>
      </c>
      <c r="U37" t="n">
        <v>0</v>
      </c>
      <c r="V37" s="2" t="inlineStr"/>
    </row>
    <row r="38" ht="15" customHeight="1">
      <c r="A38" t="inlineStr">
        <is>
          <t>A 37000-2022</t>
        </is>
      </c>
      <c r="B38" t="inlineStr">
        <is>
          <t>avverkningsanmälan</t>
        </is>
      </c>
      <c r="C38" t="inlineStr">
        <is>
          <t>Föryngringsavverkning</t>
        </is>
      </c>
      <c r="D38" s="1" t="n">
        <v>44806</v>
      </c>
      <c r="E38" s="1" t="n">
        <v>46299</v>
      </c>
      <c r="F38" t="inlineStr">
        <is>
          <t>STOCKHOLMS LÄN</t>
        </is>
      </c>
      <c r="G38" t="inlineStr">
        <is>
          <t>HANINGE</t>
        </is>
      </c>
      <c r="H38" t="inlineStr">
        <is>
          <t>Övriga statliga verk och myndigheter</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4297-2024</t>
        </is>
      </c>
      <c r="B39" t="inlineStr">
        <is>
          <t>avverkningsanmälan</t>
        </is>
      </c>
      <c r="C39" t="inlineStr">
        <is>
          <t>Föryngringsavverkning</t>
        </is>
      </c>
      <c r="D39" s="1" t="n">
        <v>45324</v>
      </c>
      <c r="E39" s="1" t="n">
        <v>46299</v>
      </c>
      <c r="F39" t="inlineStr">
        <is>
          <t>STOCKHOLMS LÄN</t>
        </is>
      </c>
      <c r="G39" t="inlineStr">
        <is>
          <t>HANINGE</t>
        </is>
      </c>
      <c r="H39" t="inlineStr">
        <is>
          <t>Kommuner</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9946-2024</t>
        </is>
      </c>
      <c r="B40" t="inlineStr">
        <is>
          <t>avverkningsanmälan</t>
        </is>
      </c>
      <c r="C40" t="inlineStr">
        <is>
          <t>Föryngringsavverkning</t>
        </is>
      </c>
      <c r="D40" s="1" t="n">
        <v>45363</v>
      </c>
      <c r="E40" s="1" t="n">
        <v>46299</v>
      </c>
      <c r="F40" t="inlineStr">
        <is>
          <t>STOCKHOLMS LÄN</t>
        </is>
      </c>
      <c r="G40" t="inlineStr">
        <is>
          <t>HANINGE</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13046-2022</t>
        </is>
      </c>
      <c r="B41" t="inlineStr">
        <is>
          <t>avverkningsanmälan</t>
        </is>
      </c>
      <c r="C41" t="inlineStr">
        <is>
          <t>Föryngringsavverkning</t>
        </is>
      </c>
      <c r="D41" s="1" t="n">
        <v>44643</v>
      </c>
      <c r="E41" s="1" t="n">
        <v>46299</v>
      </c>
      <c r="F41" t="inlineStr">
        <is>
          <t>STOCKHOLMS LÄN</t>
        </is>
      </c>
      <c r="G41" t="inlineStr">
        <is>
          <t>HANINGE</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50306-2023</t>
        </is>
      </c>
      <c r="B42" t="inlineStr">
        <is>
          <t>avverkningsanmälan</t>
        </is>
      </c>
      <c r="C42" t="inlineStr">
        <is>
          <t>Föryngringsavverkning</t>
        </is>
      </c>
      <c r="D42" s="1" t="n">
        <v>45209</v>
      </c>
      <c r="E42" s="1" t="n">
        <v>46299</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c r="Z42">
        <f>HYPERLINK("https://klasma.github.io/Logging_0136/knärot/A 50306-2023 karta knärot.png", "A 50306-2023")</f>
        <v/>
      </c>
      <c r="AA42">
        <f>HYPERLINK("https://klasma.github.io/Logging_0136/klagomål/A 50306-2023 FSC-klagomål.docx", "A 50306-2023")</f>
        <v/>
      </c>
      <c r="AB42">
        <f>HYPERLINK("https://klasma.github.io/Logging_0136/klagomålsmail/A 50306-2023 FSC-klagomål mail.docx", "A 50306-2023")</f>
        <v/>
      </c>
      <c r="AC42">
        <f>HYPERLINK("https://klasma.github.io/Logging_0136/tillsyn/A 50306-2023 tillsynsbegäran.docx", "A 50306-2023")</f>
        <v/>
      </c>
      <c r="AD42">
        <f>HYPERLINK("https://klasma.github.io/Logging_0136/tillsynsmail/A 50306-2023 tillsynsbegäran mail.docx", "A 50306-2023")</f>
        <v/>
      </c>
    </row>
    <row r="43" ht="15" customHeight="1">
      <c r="A43" t="inlineStr">
        <is>
          <t>A 24193-2025</t>
        </is>
      </c>
      <c r="B43" t="inlineStr">
        <is>
          <t>avverkningsanmälan</t>
        </is>
      </c>
      <c r="C43" t="inlineStr">
        <is>
          <t>Föryngringsavverkning</t>
        </is>
      </c>
      <c r="D43" s="1" t="n">
        <v>45796</v>
      </c>
      <c r="E43" s="1" t="n">
        <v>46299</v>
      </c>
      <c r="F43" t="inlineStr">
        <is>
          <t>STOCKHOLMS LÄN</t>
        </is>
      </c>
      <c r="G43" t="inlineStr">
        <is>
          <t>HANINGE</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46299</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22288-2023</t>
        </is>
      </c>
      <c r="B45" t="inlineStr">
        <is>
          <t>avverkningsanmälan</t>
        </is>
      </c>
      <c r="C45" t="inlineStr">
        <is>
          <t>Föryngringsavverkning</t>
        </is>
      </c>
      <c r="D45" s="1" t="n">
        <v>45070</v>
      </c>
      <c r="E45" s="1" t="n">
        <v>46299</v>
      </c>
      <c r="F45" t="inlineStr">
        <is>
          <t>STOCKHOLMS LÄN</t>
        </is>
      </c>
      <c r="G45" t="inlineStr">
        <is>
          <t>HANINGE</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46299</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12787-2026</t>
        </is>
      </c>
      <c r="B47" t="inlineStr">
        <is>
          <t>avverkningsanmälan</t>
        </is>
      </c>
      <c r="C47" t="inlineStr">
        <is>
          <t>Föryngringsavverkning</t>
        </is>
      </c>
      <c r="D47" s="1" t="n">
        <v>46091</v>
      </c>
      <c r="E47" s="1" t="n">
        <v>46299</v>
      </c>
      <c r="F47" t="inlineStr">
        <is>
          <t>STOCKHOLMS LÄN</t>
        </is>
      </c>
      <c r="G47" t="inlineStr">
        <is>
          <t>HANINGE</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46299</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46299</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32948-2025</t>
        </is>
      </c>
      <c r="B50" t="inlineStr">
        <is>
          <t>avverkningsanmälan</t>
        </is>
      </c>
      <c r="C50" t="inlineStr">
        <is>
          <t>Föryngringsavverkning</t>
        </is>
      </c>
      <c r="D50" s="1" t="n">
        <v>45839</v>
      </c>
      <c r="E50" s="1" t="n">
        <v>46299</v>
      </c>
      <c r="F50" t="inlineStr">
        <is>
          <t>STOCKHOLMS LÄN</t>
        </is>
      </c>
      <c r="G50" t="inlineStr">
        <is>
          <t>HANINGE</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48606-2025</t>
        </is>
      </c>
      <c r="B51" t="inlineStr">
        <is>
          <t>avverkningsanmälan</t>
        </is>
      </c>
      <c r="C51" t="inlineStr">
        <is>
          <t>Föryngringsavverkning</t>
        </is>
      </c>
      <c r="D51" s="1" t="n">
        <v>45936</v>
      </c>
      <c r="E51" s="1" t="n">
        <v>46299</v>
      </c>
      <c r="F51" t="inlineStr">
        <is>
          <t>STOCKHOLMS LÄN</t>
        </is>
      </c>
      <c r="G51" t="inlineStr">
        <is>
          <t>HANINGE</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46299</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46299</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52770-2024</t>
        </is>
      </c>
      <c r="B54" t="inlineStr">
        <is>
          <t>avverkningsanmälan</t>
        </is>
      </c>
      <c r="C54" t="inlineStr">
        <is>
          <t>Föryngringsavverkning</t>
        </is>
      </c>
      <c r="D54" s="1" t="n">
        <v>45610</v>
      </c>
      <c r="E54" s="1" t="n">
        <v>46299</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18490-2025</t>
        </is>
      </c>
      <c r="B55" t="inlineStr">
        <is>
          <t>avverkningsanmälan</t>
        </is>
      </c>
      <c r="C55" t="inlineStr">
        <is>
          <t>Föryngringsavverkning</t>
        </is>
      </c>
      <c r="D55" s="1" t="n">
        <v>45763</v>
      </c>
      <c r="E55" s="1" t="n">
        <v>46299</v>
      </c>
      <c r="F55" t="inlineStr">
        <is>
          <t>STOCKHOLMS LÄN</t>
        </is>
      </c>
      <c r="G55" t="inlineStr">
        <is>
          <t>HANINGE</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18548-2024</t>
        </is>
      </c>
      <c r="B56" t="inlineStr">
        <is>
          <t>avverkningsanmälan</t>
        </is>
      </c>
      <c r="C56" t="inlineStr">
        <is>
          <t>Föryngringsavverkning</t>
        </is>
      </c>
      <c r="D56" s="1" t="n">
        <v>45425</v>
      </c>
      <c r="E56" s="1" t="n">
        <v>46299</v>
      </c>
      <c r="F56" t="inlineStr">
        <is>
          <t>STOCKHOLMS LÄN</t>
        </is>
      </c>
      <c r="G56" t="inlineStr">
        <is>
          <t>HANINGE</t>
        </is>
      </c>
      <c r="H56" t="inlineStr">
        <is>
          <t>Kommuner</t>
        </is>
      </c>
      <c r="I56" t="n">
        <v>7.3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46299</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5474-2024</t>
        </is>
      </c>
      <c r="B58" t="inlineStr">
        <is>
          <t>avverkningsanmälan</t>
        </is>
      </c>
      <c r="C58" t="inlineStr">
        <is>
          <t>Föryngringsavverkning</t>
        </is>
      </c>
      <c r="D58" s="1" t="n">
        <v>45333</v>
      </c>
      <c r="E58" s="1" t="n">
        <v>46299</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23666-2024</t>
        </is>
      </c>
      <c r="B59" t="inlineStr">
        <is>
          <t>avverkningsanmälan</t>
        </is>
      </c>
      <c r="C59" t="inlineStr">
        <is>
          <t>Föryngringsavverkning</t>
        </is>
      </c>
      <c r="D59" s="1" t="n">
        <v>45454</v>
      </c>
      <c r="E59" s="1" t="n">
        <v>46299</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68896-2021</t>
        </is>
      </c>
      <c r="B60" t="inlineStr">
        <is>
          <t>avverkningsanmälan</t>
        </is>
      </c>
      <c r="C60" t="inlineStr">
        <is>
          <t>Föryngringsavverkning</t>
        </is>
      </c>
      <c r="D60" s="1" t="n">
        <v>44526</v>
      </c>
      <c r="E60" s="1" t="n">
        <v>46299</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24800-2026</t>
        </is>
      </c>
      <c r="B61" t="inlineStr">
        <is>
          <t>avverkningsanmälan</t>
        </is>
      </c>
      <c r="C61" t="inlineStr">
        <is>
          <t>Föryngringsavverkning</t>
        </is>
      </c>
      <c r="D61" s="1" t="n">
        <v>46171</v>
      </c>
      <c r="E61" s="1" t="n">
        <v>46299</v>
      </c>
      <c r="F61" t="inlineStr">
        <is>
          <t>STOCKHOLMS LÄN</t>
        </is>
      </c>
      <c r="G61" t="inlineStr">
        <is>
          <t>HANINGE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26417-2026</t>
        </is>
      </c>
      <c r="B62" t="inlineStr">
        <is>
          <t>avverkningsanmälan</t>
        </is>
      </c>
      <c r="C62" t="inlineStr">
        <is>
          <t>Föryngringsavverkning</t>
        </is>
      </c>
      <c r="D62" s="1" t="n">
        <v>46183</v>
      </c>
      <c r="E62" s="1" t="n">
        <v>46299</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26886-2026</t>
        </is>
      </c>
      <c r="B63" t="inlineStr">
        <is>
          <t>avverkningsanmälan</t>
        </is>
      </c>
      <c r="C63" t="inlineStr">
        <is>
          <t>Avverkning för annat ändamål</t>
        </is>
      </c>
      <c r="D63" s="1" t="n">
        <v>46185</v>
      </c>
      <c r="E63" s="1" t="n">
        <v>46299</v>
      </c>
      <c r="F63" t="inlineStr">
        <is>
          <t>STOCKHOLMS LÄN</t>
        </is>
      </c>
      <c r="G63" t="inlineStr">
        <is>
          <t>HANINGE</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46299</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46299</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46299</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46299</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46299</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46299</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46299</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46299</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46299</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46299</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32486-2026</t>
        </is>
      </c>
      <c r="B74" t="inlineStr">
        <is>
          <t>avverkningsanmälan</t>
        </is>
      </c>
      <c r="C74" t="inlineStr">
        <is>
          <t>Föryngringsavverkning</t>
        </is>
      </c>
      <c r="D74" s="1" t="n">
        <v>46239</v>
      </c>
      <c r="E74" s="1" t="n">
        <v>46299</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46299</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46299</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46299</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46299</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18491-2025</t>
        </is>
      </c>
      <c r="B79" t="inlineStr">
        <is>
          <t>avverkningsanmälan</t>
        </is>
      </c>
      <c r="C79" t="inlineStr">
        <is>
          <t>Föryngringsavverkning</t>
        </is>
      </c>
      <c r="D79" s="1" t="n">
        <v>45763</v>
      </c>
      <c r="E79" s="1" t="n">
        <v>46299</v>
      </c>
      <c r="F79" t="inlineStr">
        <is>
          <t>STOCKHOLMS LÄN</t>
        </is>
      </c>
      <c r="G79" t="inlineStr">
        <is>
          <t>HANINGE</t>
        </is>
      </c>
      <c r="I79" t="n">
        <v>0.5</v>
      </c>
      <c r="J79" t="n">
        <v>0</v>
      </c>
      <c r="K79" t="n">
        <v>0</v>
      </c>
      <c r="L79" t="n">
        <v>0</v>
      </c>
      <c r="M79" t="n">
        <v>0</v>
      </c>
      <c r="N79" t="n">
        <v>0</v>
      </c>
      <c r="O79" t="n">
        <v>0</v>
      </c>
      <c r="P79" t="n">
        <v>0</v>
      </c>
      <c r="Q79" t="n">
        <v>0</v>
      </c>
      <c r="R79" t="n">
        <v>0</v>
      </c>
      <c r="S79" t="n">
        <v>0</v>
      </c>
      <c r="T79" t="n">
        <v>0</v>
      </c>
      <c r="U79" t="n">
        <v>0</v>
      </c>
      <c r="V79" s="2" t="inlineStr"/>
    </row>
    <row r="80">
      <c r="A80" t="inlineStr">
        <is>
          <t>S 1718-2026</t>
        </is>
      </c>
      <c r="B80" t="inlineStr">
        <is>
          <t>samrådsanmälan</t>
        </is>
      </c>
      <c r="C80" t="inlineStr">
        <is>
          <t>Annan skogsbruksåtgärd</t>
        </is>
      </c>
      <c r="D80" s="1" t="n">
        <v>46188</v>
      </c>
      <c r="E80" s="1" t="n">
        <v>46299</v>
      </c>
      <c r="F80" t="inlineStr">
        <is>
          <t>STOCKHOLMS LÄN</t>
        </is>
      </c>
      <c r="G80" t="inlineStr">
        <is>
          <t>HANINGE</t>
        </is>
      </c>
      <c r="I80" t="n">
        <v>1.9</v>
      </c>
      <c r="J80" t="n">
        <v>0</v>
      </c>
      <c r="K80" t="n">
        <v>0</v>
      </c>
      <c r="L80" t="n">
        <v>0</v>
      </c>
      <c r="M80" t="n">
        <v>0</v>
      </c>
      <c r="N80" t="n">
        <v>0</v>
      </c>
      <c r="O80" t="n">
        <v>0</v>
      </c>
      <c r="P80" t="n">
        <v>0</v>
      </c>
      <c r="Q80" t="n">
        <v>0</v>
      </c>
      <c r="R80" t="n">
        <v>0</v>
      </c>
      <c r="S80" t="n">
        <v>0</v>
      </c>
      <c r="T80" t="n">
        <v>0</v>
      </c>
      <c r="U80" t="n">
        <v>0</v>
      </c>
      <c r="V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2026-10-04T02:00:09Z</dcterms:created>
  <dcterms:modified xmlns:dcterms="http://purl.org/dc/terms/" xmlns:xsi="http://www.w3.org/2001/XMLSchema-instance" xsi:type="dcterms:W3CDTF">2026-10-04T02:00:09Z</dcterms:modified>
</cp:coreProperties>
</file>