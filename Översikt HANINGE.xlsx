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46160</v>
      </c>
      <c r="D2" t="inlineStr">
        <is>
          <t>STOCKHOLMS LÄN</t>
        </is>
      </c>
      <c r="E2" t="inlineStr">
        <is>
          <t>HANINGE</t>
        </is>
      </c>
      <c r="G2" t="n">
        <v>10.3</v>
      </c>
      <c r="H2" t="n">
        <v>17</v>
      </c>
      <c r="I2" t="n">
        <v>27</v>
      </c>
      <c r="J2" t="n">
        <v>14</v>
      </c>
      <c r="K2" t="n">
        <v>2</v>
      </c>
      <c r="L2" t="n">
        <v>2</v>
      </c>
      <c r="M2" t="n">
        <v>1</v>
      </c>
      <c r="N2" t="n">
        <v>0</v>
      </c>
      <c r="O2" t="n">
        <v>19</v>
      </c>
      <c r="P2" t="n">
        <v>5</v>
      </c>
      <c r="Q2" t="n">
        <v>54</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Vattenfladdermus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46160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46160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46160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46160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46160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46160</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46160</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46160</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46160</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46160</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46160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46160</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46160</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46160</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14729-2023</t>
        </is>
      </c>
      <c r="B17" s="1" t="n">
        <v>45014</v>
      </c>
      <c r="C17" s="1" t="n">
        <v>46160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20507-2025</t>
        </is>
      </c>
      <c r="B18" s="1" t="n">
        <v>45775.59121527777</v>
      </c>
      <c r="C18" s="1" t="n">
        <v>46160</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39636-2022</t>
        </is>
      </c>
      <c r="B19" s="1" t="n">
        <v>44818</v>
      </c>
      <c r="C19" s="1" t="n">
        <v>46160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46160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46160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46160</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46160</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45991.93646990741</v>
      </c>
      <c r="C24" s="1" t="n">
        <v>46160</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68883-2021</t>
        </is>
      </c>
      <c r="B25" s="1" t="n">
        <v>44526</v>
      </c>
      <c r="C25" s="1" t="n">
        <v>46160</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46160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46160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46160</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46160</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46160</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46160</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46160</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46160</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46160</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46160</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46160</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46160</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46160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46160</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46160</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46160</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46160</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46160</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46160</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24115-2025</t>
        </is>
      </c>
      <c r="B45" s="1" t="n">
        <v>45796.61494212963</v>
      </c>
      <c r="C45" s="1" t="n">
        <v>46160</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46160</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24191-2025</t>
        </is>
      </c>
      <c r="B47" s="1" t="n">
        <v>45796.86738425926</v>
      </c>
      <c r="C47" s="1" t="n">
        <v>46160</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24193-2025</t>
        </is>
      </c>
      <c r="B48" s="1" t="n">
        <v>45796.89591435185</v>
      </c>
      <c r="C48" s="1" t="n">
        <v>46160</v>
      </c>
      <c r="D48" t="inlineStr">
        <is>
          <t>STOCKHOLMS LÄN</t>
        </is>
      </c>
      <c r="E48" t="inlineStr">
        <is>
          <t>HANINGE</t>
        </is>
      </c>
      <c r="G48" t="n">
        <v>0.4</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46160</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68896-2021</t>
        </is>
      </c>
      <c r="B50" s="1" t="n">
        <v>44526</v>
      </c>
      <c r="C50" s="1" t="n">
        <v>46160</v>
      </c>
      <c r="D50" t="inlineStr">
        <is>
          <t>STOCKHOLMS LÄN</t>
        </is>
      </c>
      <c r="E50" t="inlineStr">
        <is>
          <t>HANINGE</t>
        </is>
      </c>
      <c r="G50" t="n">
        <v>3.4</v>
      </c>
      <c r="H50" t="n">
        <v>0</v>
      </c>
      <c r="I50" t="n">
        <v>0</v>
      </c>
      <c r="J50" t="n">
        <v>0</v>
      </c>
      <c r="K50" t="n">
        <v>0</v>
      </c>
      <c r="L50" t="n">
        <v>0</v>
      </c>
      <c r="M50" t="n">
        <v>0</v>
      </c>
      <c r="N50" t="n">
        <v>0</v>
      </c>
      <c r="O50" t="n">
        <v>0</v>
      </c>
      <c r="P50" t="n">
        <v>0</v>
      </c>
      <c r="Q50" t="n">
        <v>0</v>
      </c>
      <c r="R50" s="2" t="inlineStr"/>
    </row>
    <row r="51" ht="15" customHeight="1">
      <c r="A51" t="inlineStr">
        <is>
          <t>A 64075-2023</t>
        </is>
      </c>
      <c r="B51" s="1" t="n">
        <v>45279</v>
      </c>
      <c r="C51" s="1" t="n">
        <v>46160</v>
      </c>
      <c r="D51" t="inlineStr">
        <is>
          <t>STOCKHOLMS LÄN</t>
        </is>
      </c>
      <c r="E51" t="inlineStr">
        <is>
          <t>HANINGE</t>
        </is>
      </c>
      <c r="G51" t="n">
        <v>2.6</v>
      </c>
      <c r="H51" t="n">
        <v>0</v>
      </c>
      <c r="I51" t="n">
        <v>0</v>
      </c>
      <c r="J51" t="n">
        <v>0</v>
      </c>
      <c r="K51" t="n">
        <v>0</v>
      </c>
      <c r="L51" t="n">
        <v>0</v>
      </c>
      <c r="M51" t="n">
        <v>0</v>
      </c>
      <c r="N51" t="n">
        <v>0</v>
      </c>
      <c r="O51" t="n">
        <v>0</v>
      </c>
      <c r="P51" t="n">
        <v>0</v>
      </c>
      <c r="Q51" t="n">
        <v>0</v>
      </c>
      <c r="R51" s="2" t="inlineStr"/>
    </row>
    <row r="52" ht="15" customHeight="1">
      <c r="A52" t="inlineStr">
        <is>
          <t>A 27596-2025</t>
        </is>
      </c>
      <c r="B52" s="1" t="n">
        <v>45813.52303240741</v>
      </c>
      <c r="C52" s="1" t="n">
        <v>46160</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6648-2023</t>
        </is>
      </c>
      <c r="B53" s="1" t="n">
        <v>44966</v>
      </c>
      <c r="C53" s="1" t="n">
        <v>46160</v>
      </c>
      <c r="D53" t="inlineStr">
        <is>
          <t>STOCKHOLMS LÄN</t>
        </is>
      </c>
      <c r="E53" t="inlineStr">
        <is>
          <t>HANINGE</t>
        </is>
      </c>
      <c r="G53" t="n">
        <v>4</v>
      </c>
      <c r="H53" t="n">
        <v>0</v>
      </c>
      <c r="I53" t="n">
        <v>0</v>
      </c>
      <c r="J53" t="n">
        <v>0</v>
      </c>
      <c r="K53" t="n">
        <v>0</v>
      </c>
      <c r="L53" t="n">
        <v>0</v>
      </c>
      <c r="M53" t="n">
        <v>0</v>
      </c>
      <c r="N53" t="n">
        <v>0</v>
      </c>
      <c r="O53" t="n">
        <v>0</v>
      </c>
      <c r="P53" t="n">
        <v>0</v>
      </c>
      <c r="Q53" t="n">
        <v>0</v>
      </c>
      <c r="R53" s="2" t="inlineStr"/>
    </row>
    <row r="54" ht="15" customHeight="1">
      <c r="A54" t="inlineStr">
        <is>
          <t>A 32952-2025</t>
        </is>
      </c>
      <c r="B54" s="1" t="n">
        <v>45839.69278935185</v>
      </c>
      <c r="C54" s="1" t="n">
        <v>46160</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32954-2025</t>
        </is>
      </c>
      <c r="B55" s="1" t="n">
        <v>45839.70034722222</v>
      </c>
      <c r="C55" s="1" t="n">
        <v>46160</v>
      </c>
      <c r="D55" t="inlineStr">
        <is>
          <t>STOCKHOLMS LÄN</t>
        </is>
      </c>
      <c r="E55" t="inlineStr">
        <is>
          <t>HANINGE</t>
        </is>
      </c>
      <c r="G55" t="n">
        <v>1.6</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46160</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46160</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32948-2025</t>
        </is>
      </c>
      <c r="B58" s="1" t="n">
        <v>45839</v>
      </c>
      <c r="C58" s="1" t="n">
        <v>46160</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46160</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14264-2025</t>
        </is>
      </c>
      <c r="B60" s="1" t="n">
        <v>45740.6340162037</v>
      </c>
      <c r="C60" s="1" t="n">
        <v>46160</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17020-2022</t>
        </is>
      </c>
      <c r="B61" s="1" t="n">
        <v>44676</v>
      </c>
      <c r="C61" s="1" t="n">
        <v>46160</v>
      </c>
      <c r="D61" t="inlineStr">
        <is>
          <t>STOCKHOLMS LÄN</t>
        </is>
      </c>
      <c r="E61" t="inlineStr">
        <is>
          <t>HANINGE</t>
        </is>
      </c>
      <c r="F61" t="inlineStr">
        <is>
          <t>Övriga statliga verk och myndigheter</t>
        </is>
      </c>
      <c r="G61" t="n">
        <v>12.4</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46160</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50306-2023</t>
        </is>
      </c>
      <c r="B63" s="1" t="n">
        <v>45209</v>
      </c>
      <c r="C63" s="1" t="n">
        <v>46160</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c r="U63">
        <f>HYPERLINK("https://klasma.github.io/Logging_0136/knärot/A 50306-2023 karta knärot.png", "A 50306-2023")</f>
        <v/>
      </c>
      <c r="V63">
        <f>HYPERLINK("https://klasma.github.io/Logging_0136/klagomål/A 50306-2023 FSC-klagomål.docx", "A 50306-2023")</f>
        <v/>
      </c>
      <c r="W63">
        <f>HYPERLINK("https://klasma.github.io/Logging_0136/klagomålsmail/A 50306-2023 FSC-klagomål mail.docx", "A 50306-2023")</f>
        <v/>
      </c>
      <c r="X63">
        <f>HYPERLINK("https://klasma.github.io/Logging_0136/tillsyn/A 50306-2023 tillsynsbegäran.docx", "A 50306-2023")</f>
        <v/>
      </c>
      <c r="Y63">
        <f>HYPERLINK("https://klasma.github.io/Logging_0136/tillsynsmail/A 50306-2023 tillsynsbegäran mail.docx", "A 50306-2023")</f>
        <v/>
      </c>
    </row>
    <row r="64" ht="15" customHeight="1">
      <c r="A64" t="inlineStr">
        <is>
          <t>A 22288-2023</t>
        </is>
      </c>
      <c r="B64" s="1" t="n">
        <v>45070</v>
      </c>
      <c r="C64" s="1" t="n">
        <v>46160</v>
      </c>
      <c r="D64" t="inlineStr">
        <is>
          <t>STOCKHOLMS LÄN</t>
        </is>
      </c>
      <c r="E64" t="inlineStr">
        <is>
          <t>HANINGE</t>
        </is>
      </c>
      <c r="G64" t="n">
        <v>2.8</v>
      </c>
      <c r="H64" t="n">
        <v>0</v>
      </c>
      <c r="I64" t="n">
        <v>0</v>
      </c>
      <c r="J64" t="n">
        <v>0</v>
      </c>
      <c r="K64" t="n">
        <v>0</v>
      </c>
      <c r="L64" t="n">
        <v>0</v>
      </c>
      <c r="M64" t="n">
        <v>0</v>
      </c>
      <c r="N64" t="n">
        <v>0</v>
      </c>
      <c r="O64" t="n">
        <v>0</v>
      </c>
      <c r="P64" t="n">
        <v>0</v>
      </c>
      <c r="Q64" t="n">
        <v>0</v>
      </c>
      <c r="R64" s="2" t="inlineStr"/>
    </row>
    <row r="65" ht="15" customHeight="1">
      <c r="A65" t="inlineStr">
        <is>
          <t>A 33792-2023</t>
        </is>
      </c>
      <c r="B65" s="1" t="n">
        <v>45121</v>
      </c>
      <c r="C65" s="1" t="n">
        <v>46160</v>
      </c>
      <c r="D65" t="inlineStr">
        <is>
          <t>STOCKHOLMS LÄN</t>
        </is>
      </c>
      <c r="E65" t="inlineStr">
        <is>
          <t>HANINGE</t>
        </is>
      </c>
      <c r="G65" t="n">
        <v>1.4</v>
      </c>
      <c r="H65" t="n">
        <v>0</v>
      </c>
      <c r="I65" t="n">
        <v>0</v>
      </c>
      <c r="J65" t="n">
        <v>0</v>
      </c>
      <c r="K65" t="n">
        <v>0</v>
      </c>
      <c r="L65" t="n">
        <v>0</v>
      </c>
      <c r="M65" t="n">
        <v>0</v>
      </c>
      <c r="N65" t="n">
        <v>0</v>
      </c>
      <c r="O65" t="n">
        <v>0</v>
      </c>
      <c r="P65" t="n">
        <v>0</v>
      </c>
      <c r="Q65" t="n">
        <v>0</v>
      </c>
      <c r="R65" s="2" t="inlineStr"/>
    </row>
    <row r="66" ht="15" customHeight="1">
      <c r="A66" t="inlineStr">
        <is>
          <t>A 20839-2024</t>
        </is>
      </c>
      <c r="B66" s="1" t="n">
        <v>45439.39953703704</v>
      </c>
      <c r="C66" s="1" t="n">
        <v>46160</v>
      </c>
      <c r="D66" t="inlineStr">
        <is>
          <t>STOCKHOLMS LÄN</t>
        </is>
      </c>
      <c r="E66" t="inlineStr">
        <is>
          <t>HANINGE</t>
        </is>
      </c>
      <c r="G66" t="n">
        <v>8.4</v>
      </c>
      <c r="H66" t="n">
        <v>0</v>
      </c>
      <c r="I66" t="n">
        <v>0</v>
      </c>
      <c r="J66" t="n">
        <v>0</v>
      </c>
      <c r="K66" t="n">
        <v>0</v>
      </c>
      <c r="L66" t="n">
        <v>0</v>
      </c>
      <c r="M66" t="n">
        <v>0</v>
      </c>
      <c r="N66" t="n">
        <v>0</v>
      </c>
      <c r="O66" t="n">
        <v>0</v>
      </c>
      <c r="P66" t="n">
        <v>0</v>
      </c>
      <c r="Q66" t="n">
        <v>0</v>
      </c>
      <c r="R66" s="2" t="inlineStr"/>
    </row>
    <row r="67" ht="15" customHeight="1">
      <c r="A67" t="inlineStr">
        <is>
          <t>A 59569-2025</t>
        </is>
      </c>
      <c r="B67" s="1" t="n">
        <v>45991.92870370371</v>
      </c>
      <c r="C67" s="1" t="n">
        <v>46160</v>
      </c>
      <c r="D67" t="inlineStr">
        <is>
          <t>STOCKHOLMS LÄN</t>
        </is>
      </c>
      <c r="E67" t="inlineStr">
        <is>
          <t>HANINGE</t>
        </is>
      </c>
      <c r="G67" t="n">
        <v>1.3</v>
      </c>
      <c r="H67" t="n">
        <v>0</v>
      </c>
      <c r="I67" t="n">
        <v>0</v>
      </c>
      <c r="J67" t="n">
        <v>0</v>
      </c>
      <c r="K67" t="n">
        <v>0</v>
      </c>
      <c r="L67" t="n">
        <v>0</v>
      </c>
      <c r="M67" t="n">
        <v>0</v>
      </c>
      <c r="N67" t="n">
        <v>0</v>
      </c>
      <c r="O67" t="n">
        <v>0</v>
      </c>
      <c r="P67" t="n">
        <v>0</v>
      </c>
      <c r="Q67" t="n">
        <v>0</v>
      </c>
      <c r="R67" s="2" t="inlineStr"/>
    </row>
    <row r="68" ht="15" customHeight="1">
      <c r="A68" t="inlineStr">
        <is>
          <t>A 59565-2025</t>
        </is>
      </c>
      <c r="B68" s="1" t="n">
        <v>45991.88413194445</v>
      </c>
      <c r="C68" s="1" t="n">
        <v>46160</v>
      </c>
      <c r="D68" t="inlineStr">
        <is>
          <t>STOCKHOLMS LÄN</t>
        </is>
      </c>
      <c r="E68" t="inlineStr">
        <is>
          <t>HANINGE</t>
        </is>
      </c>
      <c r="G68" t="n">
        <v>1.2</v>
      </c>
      <c r="H68" t="n">
        <v>0</v>
      </c>
      <c r="I68" t="n">
        <v>0</v>
      </c>
      <c r="J68" t="n">
        <v>0</v>
      </c>
      <c r="K68" t="n">
        <v>0</v>
      </c>
      <c r="L68" t="n">
        <v>0</v>
      </c>
      <c r="M68" t="n">
        <v>0</v>
      </c>
      <c r="N68" t="n">
        <v>0</v>
      </c>
      <c r="O68" t="n">
        <v>0</v>
      </c>
      <c r="P68" t="n">
        <v>0</v>
      </c>
      <c r="Q68" t="n">
        <v>0</v>
      </c>
      <c r="R68" s="2" t="inlineStr"/>
    </row>
    <row r="69" ht="15" customHeight="1">
      <c r="A69" t="inlineStr">
        <is>
          <t>A 59568-2025</t>
        </is>
      </c>
      <c r="B69" s="1" t="n">
        <v>45991.90737268519</v>
      </c>
      <c r="C69" s="1" t="n">
        <v>46160</v>
      </c>
      <c r="D69" t="inlineStr">
        <is>
          <t>STOCKHOLMS LÄN</t>
        </is>
      </c>
      <c r="E69" t="inlineStr">
        <is>
          <t>HANINGE</t>
        </is>
      </c>
      <c r="G69" t="n">
        <v>5.8</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46160</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46160</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46160</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12787-2026</t>
        </is>
      </c>
      <c r="B73" s="1" t="n">
        <v>46091.85130787037</v>
      </c>
      <c r="C73" s="1" t="n">
        <v>46160</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17765-2024</t>
        </is>
      </c>
      <c r="B74" s="1" t="n">
        <v>45418.63149305555</v>
      </c>
      <c r="C74" s="1" t="n">
        <v>46160</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25584-2023</t>
        </is>
      </c>
      <c r="B75" s="1" t="n">
        <v>45089</v>
      </c>
      <c r="C75" s="1" t="n">
        <v>46160</v>
      </c>
      <c r="D75" t="inlineStr">
        <is>
          <t>STOCKHOLMS LÄN</t>
        </is>
      </c>
      <c r="E75" t="inlineStr">
        <is>
          <t>HANINGE</t>
        </is>
      </c>
      <c r="G75" t="n">
        <v>4.8</v>
      </c>
      <c r="H75" t="n">
        <v>0</v>
      </c>
      <c r="I75" t="n">
        <v>0</v>
      </c>
      <c r="J75" t="n">
        <v>0</v>
      </c>
      <c r="K75" t="n">
        <v>0</v>
      </c>
      <c r="L75" t="n">
        <v>0</v>
      </c>
      <c r="M75" t="n">
        <v>0</v>
      </c>
      <c r="N75" t="n">
        <v>0</v>
      </c>
      <c r="O75" t="n">
        <v>0</v>
      </c>
      <c r="P75" t="n">
        <v>0</v>
      </c>
      <c r="Q75" t="n">
        <v>0</v>
      </c>
      <c r="R75" s="2" t="inlineStr"/>
    </row>
    <row r="76" ht="15" customHeight="1">
      <c r="A76" t="inlineStr">
        <is>
          <t>A 12782-2026</t>
        </is>
      </c>
      <c r="B76" s="1" t="n">
        <v>46091</v>
      </c>
      <c r="C76" s="1" t="n">
        <v>46160</v>
      </c>
      <c r="D76" t="inlineStr">
        <is>
          <t>STOCKHOLMS LÄN</t>
        </is>
      </c>
      <c r="E76" t="inlineStr">
        <is>
          <t>HANINGE</t>
        </is>
      </c>
      <c r="G76" t="n">
        <v>2.3</v>
      </c>
      <c r="H76" t="n">
        <v>0</v>
      </c>
      <c r="I76" t="n">
        <v>0</v>
      </c>
      <c r="J76" t="n">
        <v>0</v>
      </c>
      <c r="K76" t="n">
        <v>0</v>
      </c>
      <c r="L76" t="n">
        <v>0</v>
      </c>
      <c r="M76" t="n">
        <v>0</v>
      </c>
      <c r="N76" t="n">
        <v>0</v>
      </c>
      <c r="O76" t="n">
        <v>0</v>
      </c>
      <c r="P76" t="n">
        <v>0</v>
      </c>
      <c r="Q76" t="n">
        <v>0</v>
      </c>
      <c r="R76" s="2" t="inlineStr"/>
    </row>
    <row r="77" ht="15" customHeight="1">
      <c r="A77" t="inlineStr">
        <is>
          <t>A 20527-2025</t>
        </is>
      </c>
      <c r="B77" s="1" t="n">
        <v>45775.60663194444</v>
      </c>
      <c r="C77" s="1" t="n">
        <v>46160</v>
      </c>
      <c r="D77" t="inlineStr">
        <is>
          <t>STOCKHOLMS LÄN</t>
        </is>
      </c>
      <c r="E77" t="inlineStr">
        <is>
          <t>HANINGE</t>
        </is>
      </c>
      <c r="G77" t="n">
        <v>2.1</v>
      </c>
      <c r="H77" t="n">
        <v>0</v>
      </c>
      <c r="I77" t="n">
        <v>0</v>
      </c>
      <c r="J77" t="n">
        <v>0</v>
      </c>
      <c r="K77" t="n">
        <v>0</v>
      </c>
      <c r="L77" t="n">
        <v>0</v>
      </c>
      <c r="M77" t="n">
        <v>0</v>
      </c>
      <c r="N77" t="n">
        <v>0</v>
      </c>
      <c r="O77" t="n">
        <v>0</v>
      </c>
      <c r="P77" t="n">
        <v>0</v>
      </c>
      <c r="Q77" t="n">
        <v>0</v>
      </c>
      <c r="R77" s="2" t="inlineStr"/>
    </row>
    <row r="78" ht="15" customHeight="1">
      <c r="A78" t="inlineStr">
        <is>
          <t>A 1187-2024</t>
        </is>
      </c>
      <c r="B78" s="1" t="n">
        <v>45302.58045138889</v>
      </c>
      <c r="C78" s="1" t="n">
        <v>46160</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1180-2024</t>
        </is>
      </c>
      <c r="B79" s="1" t="n">
        <v>45302</v>
      </c>
      <c r="C79" s="1" t="n">
        <v>46160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1184-2024</t>
        </is>
      </c>
      <c r="B80" s="1" t="n">
        <v>45302.57663194444</v>
      </c>
      <c r="C80" s="1" t="n">
        <v>46160</v>
      </c>
      <c r="D80" t="inlineStr">
        <is>
          <t>STOCKHOLMS LÄN</t>
        </is>
      </c>
      <c r="E80" t="inlineStr">
        <is>
          <t>HANINGE</t>
        </is>
      </c>
      <c r="G80" t="n">
        <v>3.6</v>
      </c>
      <c r="H80" t="n">
        <v>0</v>
      </c>
      <c r="I80" t="n">
        <v>0</v>
      </c>
      <c r="J80" t="n">
        <v>0</v>
      </c>
      <c r="K80" t="n">
        <v>0</v>
      </c>
      <c r="L80" t="n">
        <v>0</v>
      </c>
      <c r="M80" t="n">
        <v>0</v>
      </c>
      <c r="N80" t="n">
        <v>0</v>
      </c>
      <c r="O80" t="n">
        <v>0</v>
      </c>
      <c r="P80" t="n">
        <v>0</v>
      </c>
      <c r="Q80" t="n">
        <v>0</v>
      </c>
      <c r="R80" s="2" t="inlineStr"/>
    </row>
    <row r="81" ht="15" customHeight="1">
      <c r="A81" t="inlineStr">
        <is>
          <t>A 19220-2023</t>
        </is>
      </c>
      <c r="B81" s="1" t="n">
        <v>45048</v>
      </c>
      <c r="C81" s="1" t="n">
        <v>46160</v>
      </c>
      <c r="D81" t="inlineStr">
        <is>
          <t>STOCKHOLMS LÄN</t>
        </is>
      </c>
      <c r="E81" t="inlineStr">
        <is>
          <t>HANINGE</t>
        </is>
      </c>
      <c r="G81" t="n">
        <v>1.4</v>
      </c>
      <c r="H81" t="n">
        <v>0</v>
      </c>
      <c r="I81" t="n">
        <v>0</v>
      </c>
      <c r="J81" t="n">
        <v>0</v>
      </c>
      <c r="K81" t="n">
        <v>0</v>
      </c>
      <c r="L81" t="n">
        <v>0</v>
      </c>
      <c r="M81" t="n">
        <v>0</v>
      </c>
      <c r="N81" t="n">
        <v>0</v>
      </c>
      <c r="O81" t="n">
        <v>0</v>
      </c>
      <c r="P81" t="n">
        <v>0</v>
      </c>
      <c r="Q81" t="n">
        <v>0</v>
      </c>
      <c r="R81" s="2" t="inlineStr"/>
    </row>
    <row r="82" ht="15" customHeight="1">
      <c r="A82" t="inlineStr">
        <is>
          <t>A 18490-2025</t>
        </is>
      </c>
      <c r="B82" s="1" t="n">
        <v>45763</v>
      </c>
      <c r="C82" s="1" t="n">
        <v>46160</v>
      </c>
      <c r="D82" t="inlineStr">
        <is>
          <t>STOCKHOLMS LÄN</t>
        </is>
      </c>
      <c r="E82" t="inlineStr">
        <is>
          <t>HANINGE</t>
        </is>
      </c>
      <c r="G82" t="n">
        <v>3</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46160</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18548-2024</t>
        </is>
      </c>
      <c r="B84" s="1" t="n">
        <v>45425.64708333334</v>
      </c>
      <c r="C84" s="1" t="n">
        <v>46160</v>
      </c>
      <c r="D84" t="inlineStr">
        <is>
          <t>STOCKHOLMS LÄN</t>
        </is>
      </c>
      <c r="E84" t="inlineStr">
        <is>
          <t>HANINGE</t>
        </is>
      </c>
      <c r="F84" t="inlineStr">
        <is>
          <t>Kommuner</t>
        </is>
      </c>
      <c r="G84" t="n">
        <v>7.3</v>
      </c>
      <c r="H84" t="n">
        <v>0</v>
      </c>
      <c r="I84" t="n">
        <v>0</v>
      </c>
      <c r="J84" t="n">
        <v>0</v>
      </c>
      <c r="K84" t="n">
        <v>0</v>
      </c>
      <c r="L84" t="n">
        <v>0</v>
      </c>
      <c r="M84" t="n">
        <v>0</v>
      </c>
      <c r="N84" t="n">
        <v>0</v>
      </c>
      <c r="O84" t="n">
        <v>0</v>
      </c>
      <c r="P84" t="n">
        <v>0</v>
      </c>
      <c r="Q84" t="n">
        <v>0</v>
      </c>
      <c r="R84" s="2" t="inlineStr"/>
    </row>
    <row r="85" ht="15" customHeight="1">
      <c r="A85" t="inlineStr">
        <is>
          <t>A 41809-2021</t>
        </is>
      </c>
      <c r="B85" s="1" t="n">
        <v>44425</v>
      </c>
      <c r="C85" s="1" t="n">
        <v>46160</v>
      </c>
      <c r="D85" t="inlineStr">
        <is>
          <t>STOCKHOLMS LÄN</t>
        </is>
      </c>
      <c r="E85" t="inlineStr">
        <is>
          <t>HANINGE</t>
        </is>
      </c>
      <c r="G85" t="n">
        <v>0.9</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46160</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13046-2022</t>
        </is>
      </c>
      <c r="B87" s="1" t="n">
        <v>44643</v>
      </c>
      <c r="C87" s="1" t="n">
        <v>46160</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46160</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46160</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52773-2024</t>
        </is>
      </c>
      <c r="B90" s="1" t="n">
        <v>45610.53207175926</v>
      </c>
      <c r="C90" s="1" t="n">
        <v>46160</v>
      </c>
      <c r="D90" t="inlineStr">
        <is>
          <t>STOCKHOLMS LÄN</t>
        </is>
      </c>
      <c r="E90" t="inlineStr">
        <is>
          <t>HANINGE</t>
        </is>
      </c>
      <c r="G90" t="n">
        <v>0.7</v>
      </c>
      <c r="H90" t="n">
        <v>0</v>
      </c>
      <c r="I90" t="n">
        <v>0</v>
      </c>
      <c r="J90" t="n">
        <v>0</v>
      </c>
      <c r="K90" t="n">
        <v>0</v>
      </c>
      <c r="L90" t="n">
        <v>0</v>
      </c>
      <c r="M90" t="n">
        <v>0</v>
      </c>
      <c r="N90" t="n">
        <v>0</v>
      </c>
      <c r="O90" t="n">
        <v>0</v>
      </c>
      <c r="P90" t="n">
        <v>0</v>
      </c>
      <c r="Q90" t="n">
        <v>0</v>
      </c>
      <c r="R90" s="2" t="inlineStr"/>
    </row>
    <row r="91" ht="15" customHeight="1">
      <c r="A91" t="inlineStr">
        <is>
          <t>A 23666-2024</t>
        </is>
      </c>
      <c r="B91" s="1" t="n">
        <v>45454.57909722222</v>
      </c>
      <c r="C91" s="1" t="n">
        <v>46160</v>
      </c>
      <c r="D91" t="inlineStr">
        <is>
          <t>STOCKHOLMS LÄN</t>
        </is>
      </c>
      <c r="E91" t="inlineStr">
        <is>
          <t>HANINGE</t>
        </is>
      </c>
      <c r="G91" t="n">
        <v>0.8</v>
      </c>
      <c r="H91" t="n">
        <v>0</v>
      </c>
      <c r="I91" t="n">
        <v>0</v>
      </c>
      <c r="J91" t="n">
        <v>0</v>
      </c>
      <c r="K91" t="n">
        <v>0</v>
      </c>
      <c r="L91" t="n">
        <v>0</v>
      </c>
      <c r="M91" t="n">
        <v>0</v>
      </c>
      <c r="N91" t="n">
        <v>0</v>
      </c>
      <c r="O91" t="n">
        <v>0</v>
      </c>
      <c r="P91" t="n">
        <v>0</v>
      </c>
      <c r="Q91" t="n">
        <v>0</v>
      </c>
      <c r="R91" s="2" t="inlineStr"/>
    </row>
    <row r="92" ht="15" customHeight="1">
      <c r="A92" t="inlineStr">
        <is>
          <t>A 9946-2024</t>
        </is>
      </c>
      <c r="B92" s="1" t="n">
        <v>45363.59789351852</v>
      </c>
      <c r="C92" s="1" t="n">
        <v>46160</v>
      </c>
      <c r="D92" t="inlineStr">
        <is>
          <t>STOCKHOLMS LÄN</t>
        </is>
      </c>
      <c r="E92" t="inlineStr">
        <is>
          <t>HANINGE</t>
        </is>
      </c>
      <c r="G92" t="n">
        <v>3.8</v>
      </c>
      <c r="H92" t="n">
        <v>0</v>
      </c>
      <c r="I92" t="n">
        <v>0</v>
      </c>
      <c r="J92" t="n">
        <v>0</v>
      </c>
      <c r="K92" t="n">
        <v>0</v>
      </c>
      <c r="L92" t="n">
        <v>0</v>
      </c>
      <c r="M92" t="n">
        <v>0</v>
      </c>
      <c r="N92" t="n">
        <v>0</v>
      </c>
      <c r="O92" t="n">
        <v>0</v>
      </c>
      <c r="P92" t="n">
        <v>0</v>
      </c>
      <c r="Q92" t="n">
        <v>0</v>
      </c>
      <c r="R92" s="2" t="inlineStr"/>
    </row>
    <row r="93" ht="15" customHeight="1">
      <c r="A93" t="inlineStr">
        <is>
          <t>A 52770-2024</t>
        </is>
      </c>
      <c r="B93" s="1" t="n">
        <v>45610.52414351852</v>
      </c>
      <c r="C93" s="1" t="n">
        <v>46160</v>
      </c>
      <c r="D93" t="inlineStr">
        <is>
          <t>STOCKHOLMS LÄN</t>
        </is>
      </c>
      <c r="E93" t="inlineStr">
        <is>
          <t>HANINGE</t>
        </is>
      </c>
      <c r="G93" t="n">
        <v>2.3</v>
      </c>
      <c r="H93" t="n">
        <v>0</v>
      </c>
      <c r="I93" t="n">
        <v>0</v>
      </c>
      <c r="J93" t="n">
        <v>0</v>
      </c>
      <c r="K93" t="n">
        <v>0</v>
      </c>
      <c r="L93" t="n">
        <v>0</v>
      </c>
      <c r="M93" t="n">
        <v>0</v>
      </c>
      <c r="N93" t="n">
        <v>0</v>
      </c>
      <c r="O93" t="n">
        <v>0</v>
      </c>
      <c r="P93" t="n">
        <v>0</v>
      </c>
      <c r="Q93" t="n">
        <v>0</v>
      </c>
      <c r="R93" s="2" t="inlineStr"/>
    </row>
    <row r="94" ht="15" customHeight="1">
      <c r="A94" t="inlineStr">
        <is>
          <t>A 52836-2024</t>
        </is>
      </c>
      <c r="B94" s="1" t="n">
        <v>45610.59637731482</v>
      </c>
      <c r="C94" s="1" t="n">
        <v>46160</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ht="15" customHeight="1">
      <c r="A95" t="inlineStr">
        <is>
          <t>A 5474-2024</t>
        </is>
      </c>
      <c r="B95" s="1" t="n">
        <v>45333.51131944444</v>
      </c>
      <c r="C95" s="1" t="n">
        <v>46160</v>
      </c>
      <c r="D95" t="inlineStr">
        <is>
          <t>STOCKHOLMS LÄN</t>
        </is>
      </c>
      <c r="E95" t="inlineStr">
        <is>
          <t>HANINGE</t>
        </is>
      </c>
      <c r="F95" t="inlineStr">
        <is>
          <t>Kommuner</t>
        </is>
      </c>
      <c r="G95" t="n">
        <v>0.9</v>
      </c>
      <c r="H95" t="n">
        <v>0</v>
      </c>
      <c r="I95" t="n">
        <v>0</v>
      </c>
      <c r="J95" t="n">
        <v>0</v>
      </c>
      <c r="K95" t="n">
        <v>0</v>
      </c>
      <c r="L95" t="n">
        <v>0</v>
      </c>
      <c r="M95" t="n">
        <v>0</v>
      </c>
      <c r="N95" t="n">
        <v>0</v>
      </c>
      <c r="O95" t="n">
        <v>0</v>
      </c>
      <c r="P95" t="n">
        <v>0</v>
      </c>
      <c r="Q95" t="n">
        <v>0</v>
      </c>
      <c r="R95" s="2" t="inlineStr"/>
    </row>
    <row r="96" ht="15" customHeight="1">
      <c r="A96" t="inlineStr">
        <is>
          <t>A 14900-2025</t>
        </is>
      </c>
      <c r="B96" s="1" t="n">
        <v>45743.48729166666</v>
      </c>
      <c r="C96" s="1" t="n">
        <v>46160</v>
      </c>
      <c r="D96" t="inlineStr">
        <is>
          <t>STOCKHOLMS LÄN</t>
        </is>
      </c>
      <c r="E96" t="inlineStr">
        <is>
          <t>HANINGE</t>
        </is>
      </c>
      <c r="G96" t="n">
        <v>4.5</v>
      </c>
      <c r="H96" t="n">
        <v>0</v>
      </c>
      <c r="I96" t="n">
        <v>0</v>
      </c>
      <c r="J96" t="n">
        <v>0</v>
      </c>
      <c r="K96" t="n">
        <v>0</v>
      </c>
      <c r="L96" t="n">
        <v>0</v>
      </c>
      <c r="M96" t="n">
        <v>0</v>
      </c>
      <c r="N96" t="n">
        <v>0</v>
      </c>
      <c r="O96" t="n">
        <v>0</v>
      </c>
      <c r="P96" t="n">
        <v>0</v>
      </c>
      <c r="Q96" t="n">
        <v>0</v>
      </c>
      <c r="R96" s="2" t="inlineStr"/>
    </row>
    <row r="97">
      <c r="A97" t="inlineStr">
        <is>
          <t>A 21231-2025</t>
        </is>
      </c>
      <c r="B97" s="1" t="n">
        <v>45779.54644675926</v>
      </c>
      <c r="C97" s="1" t="n">
        <v>46160</v>
      </c>
      <c r="D97" t="inlineStr">
        <is>
          <t>STOCKHOLMS LÄN</t>
        </is>
      </c>
      <c r="E97" t="inlineStr">
        <is>
          <t>HANINGE</t>
        </is>
      </c>
      <c r="G97" t="n">
        <v>4.3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2026-05-18T11:00:47Z</dcterms:created>
  <dcterms:modified xmlns:dcterms="http://purl.org/dc/terms/" xmlns:xsi="http://www.w3.org/2001/XMLSchema-instance" xsi:type="dcterms:W3CDTF">2026-05-18T11:00:47Z</dcterms:modified>
</cp:coreProperties>
</file>