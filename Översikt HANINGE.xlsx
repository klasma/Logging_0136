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46232</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46232</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46232</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46232</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46232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46232</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46232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46232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46232</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46232</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46232</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46232</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46232</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46232</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46232</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46232</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46232</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46232</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46232</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28861-2026</t>
        </is>
      </c>
      <c r="B30" t="inlineStr">
        <is>
          <t>avverkningsanmälan</t>
        </is>
      </c>
      <c r="C30" t="inlineStr">
        <is>
          <t>Avverkning för annat ändamål</t>
        </is>
      </c>
      <c r="D30" s="1" t="n">
        <v>46199</v>
      </c>
      <c r="E30" s="1" t="n">
        <v>46232</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HYPERLINK("https://klasma.github.io/Logging_0136/artfynd/A 28861-2026 artfynd.xlsx", "A 28861-2026")</f>
        <v/>
      </c>
      <c r="X30">
        <f>HYPERLINK("https://klasma.github.io/Logging_0136/kartor/A 28861-2026 karta.png", "A 28861-2026")</f>
        <v/>
      </c>
      <c r="Y30">
        <f>HYPERLINK("https://klasma.github.io/Logging_0136/kartor_geotiff/A 28861-2026 georefererad karta.tif", "A 28861-2026")</f>
        <v/>
      </c>
      <c r="AA30">
        <f>HYPERLINK("https://klasma.github.io/Logging_0136/klagomål/A 28861-2026 FSC-klagomål.docx", "A 28861-2026")</f>
        <v/>
      </c>
      <c r="AB30">
        <f>HYPERLINK("https://klasma.github.io/Logging_0136/klagomålsmail/A 28861-2026 FSC-klagomål mail.docx", "A 28861-2026")</f>
        <v/>
      </c>
      <c r="AC30">
        <f>HYPERLINK("https://klasma.github.io/Logging_0136/tillsyn/A 28861-2026 tillsynsbegäran.docx", "A 28861-2026")</f>
        <v/>
      </c>
      <c r="AD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46232</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46232</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46232</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46232</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46232</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46232</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46232</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46232</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46232</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46232</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46232</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46232</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46232</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46232</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4297-2024</t>
        </is>
      </c>
      <c r="B45" t="inlineStr">
        <is>
          <t>avverkningsanmälan</t>
        </is>
      </c>
      <c r="C45" t="inlineStr">
        <is>
          <t>Föryngringsavverkning</t>
        </is>
      </c>
      <c r="D45" s="1" t="n">
        <v>45324</v>
      </c>
      <c r="E45" s="1" t="n">
        <v>46232</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9946-2024</t>
        </is>
      </c>
      <c r="B46" t="inlineStr">
        <is>
          <t>avverkningsanmälan</t>
        </is>
      </c>
      <c r="C46" t="inlineStr">
        <is>
          <t>Föryngringsavverkning</t>
        </is>
      </c>
      <c r="D46" s="1" t="n">
        <v>45363</v>
      </c>
      <c r="E46" s="1" t="n">
        <v>46232</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46232</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46232</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46232</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46232</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27596-2025</t>
        </is>
      </c>
      <c r="B51" t="inlineStr">
        <is>
          <t>avverkningsanmälan</t>
        </is>
      </c>
      <c r="C51" t="inlineStr">
        <is>
          <t>Avverkning för att bevara och utveckla /försöksver</t>
        </is>
      </c>
      <c r="D51" s="1" t="n">
        <v>45813</v>
      </c>
      <c r="E51" s="1" t="n">
        <v>46232</v>
      </c>
      <c r="F51" t="inlineStr">
        <is>
          <t>STOCKHOLMS LÄN</t>
        </is>
      </c>
      <c r="G51" t="inlineStr">
        <is>
          <t>HANINGE</t>
        </is>
      </c>
      <c r="I51" t="n">
        <v>0.1</v>
      </c>
      <c r="J51" t="n">
        <v>0</v>
      </c>
      <c r="K51" t="n">
        <v>0</v>
      </c>
      <c r="L51" t="n">
        <v>0</v>
      </c>
      <c r="M51" t="n">
        <v>0</v>
      </c>
      <c r="N51" t="n">
        <v>0</v>
      </c>
      <c r="O51" t="n">
        <v>0</v>
      </c>
      <c r="P51" t="n">
        <v>0</v>
      </c>
      <c r="Q51" t="n">
        <v>0</v>
      </c>
      <c r="R51" t="n">
        <v>0</v>
      </c>
      <c r="S51" t="n">
        <v>0</v>
      </c>
      <c r="T51" t="n">
        <v>0</v>
      </c>
      <c r="U51" t="n">
        <v>0</v>
      </c>
      <c r="V51" s="2" t="inlineStr"/>
    </row>
    <row r="52" ht="15" customHeight="1">
      <c r="A52" t="inlineStr">
        <is>
          <t>A 38595-2021</t>
        </is>
      </c>
      <c r="B52" t="inlineStr">
        <is>
          <t>avverkningsanmälan</t>
        </is>
      </c>
      <c r="C52" t="inlineStr">
        <is>
          <t>Avverkning för annat ändamål</t>
        </is>
      </c>
      <c r="D52" s="1" t="n">
        <v>44407</v>
      </c>
      <c r="E52" s="1" t="n">
        <v>46232</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46232</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18512-2024</t>
        </is>
      </c>
      <c r="B54" t="inlineStr">
        <is>
          <t>avverkningsanmälan</t>
        </is>
      </c>
      <c r="C54" t="inlineStr">
        <is>
          <t>Föryngringsavverkning</t>
        </is>
      </c>
      <c r="D54" s="1" t="n">
        <v>45425</v>
      </c>
      <c r="E54" s="1" t="n">
        <v>46232</v>
      </c>
      <c r="F54" t="inlineStr">
        <is>
          <t>STOCKHOLMS LÄN</t>
        </is>
      </c>
      <c r="G54" t="inlineStr">
        <is>
          <t>HANINGE</t>
        </is>
      </c>
      <c r="H54" t="inlineStr">
        <is>
          <t>Kommuner</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59569-2025</t>
        </is>
      </c>
      <c r="B55" t="inlineStr">
        <is>
          <t>avverkningsanmälan</t>
        </is>
      </c>
      <c r="C55" t="inlineStr">
        <is>
          <t>Föryngringsavverkning</t>
        </is>
      </c>
      <c r="D55" s="1" t="n">
        <v>45991</v>
      </c>
      <c r="E55" s="1" t="n">
        <v>46232</v>
      </c>
      <c r="F55" t="inlineStr">
        <is>
          <t>STOCKHOLMS LÄN</t>
        </is>
      </c>
      <c r="G55" t="inlineStr">
        <is>
          <t>HANINGE</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12787-2026</t>
        </is>
      </c>
      <c r="B56" t="inlineStr">
        <is>
          <t>avverkningsanmälan</t>
        </is>
      </c>
      <c r="C56" t="inlineStr">
        <is>
          <t>Föryngringsavverkning</t>
        </is>
      </c>
      <c r="D56" s="1" t="n">
        <v>46091</v>
      </c>
      <c r="E56" s="1" t="n">
        <v>46232</v>
      </c>
      <c r="F56" t="inlineStr">
        <is>
          <t>STOCKHOLMS LÄN</t>
        </is>
      </c>
      <c r="G56" t="inlineStr">
        <is>
          <t>HANINGE</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46232</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46232</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18548-2024</t>
        </is>
      </c>
      <c r="B59" t="inlineStr">
        <is>
          <t>avverkningsanmälan</t>
        </is>
      </c>
      <c r="C59" t="inlineStr">
        <is>
          <t>Föryngringsavverkning</t>
        </is>
      </c>
      <c r="D59" s="1" t="n">
        <v>45425</v>
      </c>
      <c r="E59" s="1" t="n">
        <v>46232</v>
      </c>
      <c r="F59" t="inlineStr">
        <is>
          <t>STOCKHOLMS LÄN</t>
        </is>
      </c>
      <c r="G59" t="inlineStr">
        <is>
          <t>HANINGE</t>
        </is>
      </c>
      <c r="H59" t="inlineStr">
        <is>
          <t>Kommuner</t>
        </is>
      </c>
      <c r="I59" t="n">
        <v>7.3</v>
      </c>
      <c r="J59" t="n">
        <v>0</v>
      </c>
      <c r="K59" t="n">
        <v>0</v>
      </c>
      <c r="L59" t="n">
        <v>0</v>
      </c>
      <c r="M59" t="n">
        <v>0</v>
      </c>
      <c r="N59" t="n">
        <v>0</v>
      </c>
      <c r="O59" t="n">
        <v>0</v>
      </c>
      <c r="P59" t="n">
        <v>0</v>
      </c>
      <c r="Q59" t="n">
        <v>0</v>
      </c>
      <c r="R59" t="n">
        <v>0</v>
      </c>
      <c r="S59" t="n">
        <v>0</v>
      </c>
      <c r="T59" t="n">
        <v>0</v>
      </c>
      <c r="U59" t="n">
        <v>0</v>
      </c>
      <c r="V59" s="2" t="inlineStr"/>
    </row>
    <row r="60" ht="15" customHeight="1">
      <c r="A60" t="inlineStr">
        <is>
          <t>A 20839-2024</t>
        </is>
      </c>
      <c r="B60" t="inlineStr">
        <is>
          <t>avverkningsanmälan</t>
        </is>
      </c>
      <c r="C60" t="inlineStr">
        <is>
          <t>Föryngringsavverkning</t>
        </is>
      </c>
      <c r="D60" s="1" t="n">
        <v>45439</v>
      </c>
      <c r="E60" s="1" t="n">
        <v>46232</v>
      </c>
      <c r="F60" t="inlineStr">
        <is>
          <t>STOCKHOLMS LÄN</t>
        </is>
      </c>
      <c r="G60" t="inlineStr">
        <is>
          <t>HANINGE</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5474-2024</t>
        </is>
      </c>
      <c r="B61" t="inlineStr">
        <is>
          <t>avverkningsanmälan</t>
        </is>
      </c>
      <c r="C61" t="inlineStr">
        <is>
          <t>Föryngringsavverkning</t>
        </is>
      </c>
      <c r="D61" s="1" t="n">
        <v>45333</v>
      </c>
      <c r="E61" s="1" t="n">
        <v>46232</v>
      </c>
      <c r="F61" t="inlineStr">
        <is>
          <t>STOCKHOLMS LÄN</t>
        </is>
      </c>
      <c r="G61" t="inlineStr">
        <is>
          <t>HANINGE</t>
        </is>
      </c>
      <c r="H61" t="inlineStr">
        <is>
          <t>Kommuner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46232</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46232</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32948-2025</t>
        </is>
      </c>
      <c r="B64" t="inlineStr">
        <is>
          <t>avverkningsanmälan</t>
        </is>
      </c>
      <c r="C64" t="inlineStr">
        <is>
          <t>Föryngringsavverkning</t>
        </is>
      </c>
      <c r="D64" s="1" t="n">
        <v>45839</v>
      </c>
      <c r="E64" s="1" t="n">
        <v>46232</v>
      </c>
      <c r="F64" t="inlineStr">
        <is>
          <t>STOCKHOLMS LÄN</t>
        </is>
      </c>
      <c r="G64" t="inlineStr">
        <is>
          <t>HANINGE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33792-2023</t>
        </is>
      </c>
      <c r="B65" t="inlineStr">
        <is>
          <t>avverkningsanmälan</t>
        </is>
      </c>
      <c r="C65" t="inlineStr">
        <is>
          <t>Föryngringsavverkning</t>
        </is>
      </c>
      <c r="D65" s="1" t="n">
        <v>45121</v>
      </c>
      <c r="E65" s="1" t="n">
        <v>46232</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48606-2025</t>
        </is>
      </c>
      <c r="B66" t="inlineStr">
        <is>
          <t>avverkningsanmälan</t>
        </is>
      </c>
      <c r="C66" t="inlineStr">
        <is>
          <t>Föryngringsavverkning</t>
        </is>
      </c>
      <c r="D66" s="1" t="n">
        <v>45936</v>
      </c>
      <c r="E66" s="1" t="n">
        <v>46232</v>
      </c>
      <c r="F66" t="inlineStr">
        <is>
          <t>STOCKHOLMS LÄN</t>
        </is>
      </c>
      <c r="G66" t="inlineStr">
        <is>
          <t>HANINGE</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14900-2025</t>
        </is>
      </c>
      <c r="B67" t="inlineStr">
        <is>
          <t>avverkningsanmälan</t>
        </is>
      </c>
      <c r="C67" t="inlineStr">
        <is>
          <t>Föryngringsavverkning</t>
        </is>
      </c>
      <c r="D67" s="1" t="n">
        <v>45743</v>
      </c>
      <c r="E67" s="1" t="n">
        <v>46232</v>
      </c>
      <c r="F67" t="inlineStr">
        <is>
          <t>STOCKHOLMS LÄN</t>
        </is>
      </c>
      <c r="G67" t="inlineStr">
        <is>
          <t>HANINGE</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20527-2025</t>
        </is>
      </c>
      <c r="B68" t="inlineStr">
        <is>
          <t>avverkningsanmälan</t>
        </is>
      </c>
      <c r="C68" t="inlineStr">
        <is>
          <t>Föryngringsavverkning</t>
        </is>
      </c>
      <c r="D68" s="1" t="n">
        <v>45775</v>
      </c>
      <c r="E68" s="1" t="n">
        <v>46232</v>
      </c>
      <c r="F68" t="inlineStr">
        <is>
          <t>STOCKHOLMS LÄN</t>
        </is>
      </c>
      <c r="G68" t="inlineStr">
        <is>
          <t>HANINGE</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46232</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1180-2024</t>
        </is>
      </c>
      <c r="B70" t="inlineStr">
        <is>
          <t>avverkningsanmälan</t>
        </is>
      </c>
      <c r="C70" t="inlineStr">
        <is>
          <t>Föryngringsavverkning</t>
        </is>
      </c>
      <c r="D70" s="1" t="n">
        <v>45302</v>
      </c>
      <c r="E70" s="1" t="n">
        <v>46232</v>
      </c>
      <c r="F70" t="inlineStr">
        <is>
          <t>STOCKHOLMS LÄN</t>
        </is>
      </c>
      <c r="G70" t="inlineStr">
        <is>
          <t>HANINGE</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24873-2023</t>
        </is>
      </c>
      <c r="B71" t="inlineStr">
        <is>
          <t>avverkningsanmälan</t>
        </is>
      </c>
      <c r="C71" t="inlineStr">
        <is>
          <t>Föryngringsavverkning</t>
        </is>
      </c>
      <c r="D71" s="1" t="n">
        <v>45085</v>
      </c>
      <c r="E71" s="1" t="n">
        <v>46232</v>
      </c>
      <c r="F71" t="inlineStr">
        <is>
          <t>STOCKHOLMS LÄN</t>
        </is>
      </c>
      <c r="G71" t="inlineStr">
        <is>
          <t>HANINGE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52770-2024</t>
        </is>
      </c>
      <c r="B72" t="inlineStr">
        <is>
          <t>avverkningsanmälan</t>
        </is>
      </c>
      <c r="C72" t="inlineStr">
        <is>
          <t>Föryngringsavverkning</t>
        </is>
      </c>
      <c r="D72" s="1" t="n">
        <v>45610</v>
      </c>
      <c r="E72" s="1" t="n">
        <v>46232</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58599-2023</t>
        </is>
      </c>
      <c r="B73" t="inlineStr">
        <is>
          <t>avverkningsanmälan</t>
        </is>
      </c>
      <c r="C73" t="inlineStr">
        <is>
          <t>Föryngringsavverkning</t>
        </is>
      </c>
      <c r="D73" s="1" t="n">
        <v>45251</v>
      </c>
      <c r="E73" s="1" t="n">
        <v>46232</v>
      </c>
      <c r="F73" t="inlineStr">
        <is>
          <t>STOCKHOLMS LÄN</t>
        </is>
      </c>
      <c r="G73" t="inlineStr">
        <is>
          <t>HANINGE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52836-2024</t>
        </is>
      </c>
      <c r="B74" t="inlineStr">
        <is>
          <t>avverkningsanmälan</t>
        </is>
      </c>
      <c r="C74" t="inlineStr">
        <is>
          <t>Föryngringsavverkning</t>
        </is>
      </c>
      <c r="D74" s="1" t="n">
        <v>45610</v>
      </c>
      <c r="E74" s="1" t="n">
        <v>46232</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8078-2024</t>
        </is>
      </c>
      <c r="B75" t="inlineStr">
        <is>
          <t>avverkningsanmälan</t>
        </is>
      </c>
      <c r="C75" t="inlineStr">
        <is>
          <t>Föryngringsavverkning</t>
        </is>
      </c>
      <c r="D75" s="1" t="n">
        <v>45351</v>
      </c>
      <c r="E75" s="1" t="n">
        <v>46232</v>
      </c>
      <c r="F75" t="inlineStr">
        <is>
          <t>STOCKHOLMS LÄN</t>
        </is>
      </c>
      <c r="G75" t="inlineStr">
        <is>
          <t>HANINGE</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19220-2023</t>
        </is>
      </c>
      <c r="B76" t="inlineStr">
        <is>
          <t>avverkningsanmälan</t>
        </is>
      </c>
      <c r="C76" t="inlineStr">
        <is>
          <t>Föryngringsavverkning</t>
        </is>
      </c>
      <c r="D76" s="1" t="n">
        <v>45048</v>
      </c>
      <c r="E76" s="1" t="n">
        <v>46232</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46232</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3156-2025</t>
        </is>
      </c>
      <c r="B78" t="inlineStr">
        <is>
          <t>avverkningsanmälan</t>
        </is>
      </c>
      <c r="C78" t="inlineStr">
        <is>
          <t>Föryngringsavverkning</t>
        </is>
      </c>
      <c r="D78" s="1" t="n">
        <v>45679</v>
      </c>
      <c r="E78" s="1" t="n">
        <v>46232</v>
      </c>
      <c r="F78" t="inlineStr">
        <is>
          <t>STOCKHOLMS LÄN</t>
        </is>
      </c>
      <c r="G78" t="inlineStr">
        <is>
          <t>HANINGE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17765-2024</t>
        </is>
      </c>
      <c r="B79" t="inlineStr">
        <is>
          <t>avverkningsanmälan</t>
        </is>
      </c>
      <c r="C79" t="inlineStr">
        <is>
          <t>Föryngringsavverkning</t>
        </is>
      </c>
      <c r="D79" s="1" t="n">
        <v>45418</v>
      </c>
      <c r="E79" s="1" t="n">
        <v>46232</v>
      </c>
      <c r="F79" t="inlineStr">
        <is>
          <t>STOCKHOLMS LÄN</t>
        </is>
      </c>
      <c r="G79" t="inlineStr">
        <is>
          <t>HANINGE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24800-2026</t>
        </is>
      </c>
      <c r="B80" t="inlineStr">
        <is>
          <t>avverkningsanmälan</t>
        </is>
      </c>
      <c r="C80" t="inlineStr">
        <is>
          <t>Föryngringsavverkning</t>
        </is>
      </c>
      <c r="D80" s="1" t="n">
        <v>46171</v>
      </c>
      <c r="E80" s="1" t="n">
        <v>46232</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46232</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46232</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26417-2026</t>
        </is>
      </c>
      <c r="B83" t="inlineStr">
        <is>
          <t>avverkningsanmälan</t>
        </is>
      </c>
      <c r="C83" t="inlineStr">
        <is>
          <t>Föryngringsavverkning</t>
        </is>
      </c>
      <c r="D83" s="1" t="n">
        <v>46183</v>
      </c>
      <c r="E83" s="1" t="n">
        <v>46232</v>
      </c>
      <c r="F83" t="inlineStr">
        <is>
          <t>STOCKHOLMS LÄN</t>
        </is>
      </c>
      <c r="G83" t="inlineStr">
        <is>
          <t>HANINGE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26886-2026</t>
        </is>
      </c>
      <c r="B84" t="inlineStr">
        <is>
          <t>avverkningsanmälan</t>
        </is>
      </c>
      <c r="C84" t="inlineStr">
        <is>
          <t>Avverkning för annat ändamål</t>
        </is>
      </c>
      <c r="D84" s="1" t="n">
        <v>46185</v>
      </c>
      <c r="E84" s="1" t="n">
        <v>46232</v>
      </c>
      <c r="F84" t="inlineStr">
        <is>
          <t>STOCKHOLMS LÄN</t>
        </is>
      </c>
      <c r="G84" t="inlineStr">
        <is>
          <t>HANINGE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24193-2025</t>
        </is>
      </c>
      <c r="B85" t="inlineStr">
        <is>
          <t>avverkningsanmälan</t>
        </is>
      </c>
      <c r="C85" t="inlineStr">
        <is>
          <t>Föryngringsavverkning</t>
        </is>
      </c>
      <c r="D85" s="1" t="n">
        <v>45796</v>
      </c>
      <c r="E85" s="1" t="n">
        <v>46232</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64075-2023</t>
        </is>
      </c>
      <c r="B86" t="inlineStr">
        <is>
          <t>avverkningsanmälan</t>
        </is>
      </c>
      <c r="C86" t="inlineStr">
        <is>
          <t>Föryngringsavverkning</t>
        </is>
      </c>
      <c r="D86" s="1" t="n">
        <v>45279</v>
      </c>
      <c r="E86" s="1" t="n">
        <v>46232</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46232</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2026-07-29T01:52:41Z</dcterms:created>
  <dcterms:modified xmlns:dcterms="http://purl.org/dc/terms/" xmlns:xsi="http://www.w3.org/2001/XMLSchema-instance" xsi:type="dcterms:W3CDTF">2026-07-29T01:52:41Z</dcterms:modified>
</cp:coreProperties>
</file>