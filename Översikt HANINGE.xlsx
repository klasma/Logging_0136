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46319</v>
      </c>
      <c r="F3" t="inlineStr">
        <is>
          <t>STOCKHOLMS LÄN</t>
        </is>
      </c>
      <c r="G3" t="inlineStr">
        <is>
          <t>HANINGE</t>
        </is>
      </c>
      <c r="I3" t="n">
        <v>19.9</v>
      </c>
      <c r="J3" t="n">
        <v>23</v>
      </c>
      <c r="K3" t="n">
        <v>21</v>
      </c>
      <c r="L3" t="n">
        <v>20</v>
      </c>
      <c r="M3" t="n">
        <v>8</v>
      </c>
      <c r="N3" t="n">
        <v>0</v>
      </c>
      <c r="O3" t="n">
        <v>0</v>
      </c>
      <c r="P3" t="n">
        <v>0</v>
      </c>
      <c r="Q3" t="n">
        <v>28</v>
      </c>
      <c r="R3" t="n">
        <v>8</v>
      </c>
      <c r="S3" t="n">
        <v>66</v>
      </c>
      <c r="T3" t="n">
        <v>297</v>
      </c>
      <c r="U3" t="n">
        <v>162</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46319</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46319</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46319</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46319</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46319</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46319</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46319</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46319</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46319</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46319</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46319</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46319</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46319</v>
      </c>
      <c r="F17" t="inlineStr">
        <is>
          <t>STOCKHOLMS LÄN</t>
        </is>
      </c>
      <c r="G17" t="inlineStr">
        <is>
          <t>HANINGE</t>
        </is>
      </c>
      <c r="I17" t="n">
        <v>1.3</v>
      </c>
      <c r="J17" t="n">
        <v>1</v>
      </c>
      <c r="K17" t="n">
        <v>1</v>
      </c>
      <c r="L17" t="n">
        <v>3</v>
      </c>
      <c r="M17" t="n">
        <v>0</v>
      </c>
      <c r="N17" t="n">
        <v>0</v>
      </c>
      <c r="O17" t="n">
        <v>0</v>
      </c>
      <c r="P17" t="n">
        <v>0</v>
      </c>
      <c r="Q17" t="n">
        <v>3</v>
      </c>
      <c r="R17" t="n">
        <v>0</v>
      </c>
      <c r="S17" t="n">
        <v>5</v>
      </c>
      <c r="T17" t="n">
        <v>5</v>
      </c>
      <c r="U17" t="n">
        <v>4</v>
      </c>
      <c r="V17" s="2" t="inlineStr">
        <is>
          <t>Motaggsvamp
Skogshare
Tallticka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21231-2025</t>
        </is>
      </c>
      <c r="B18" t="inlineStr">
        <is>
          <t>avverkningsanmälan</t>
        </is>
      </c>
      <c r="C18" t="inlineStr">
        <is>
          <t>Föryngringsavverkning</t>
        </is>
      </c>
      <c r="D18" s="1" t="n">
        <v>45779</v>
      </c>
      <c r="E18" s="1" t="n">
        <v>46319</v>
      </c>
      <c r="F18" t="inlineStr">
        <is>
          <t>STOCKHOLMS LÄN</t>
        </is>
      </c>
      <c r="G18" t="inlineStr">
        <is>
          <t>HANINGE</t>
        </is>
      </c>
      <c r="I18" t="n">
        <v>4.3</v>
      </c>
      <c r="J18" t="n">
        <v>2</v>
      </c>
      <c r="K18" t="n">
        <v>0</v>
      </c>
      <c r="L18" t="n">
        <v>1</v>
      </c>
      <c r="M18" t="n">
        <v>0</v>
      </c>
      <c r="N18" t="n">
        <v>0</v>
      </c>
      <c r="O18" t="n">
        <v>0</v>
      </c>
      <c r="P18" t="n">
        <v>0</v>
      </c>
      <c r="Q18" t="n">
        <v>1</v>
      </c>
      <c r="R18" t="n">
        <v>0</v>
      </c>
      <c r="S18" t="n">
        <v>3</v>
      </c>
      <c r="T18" t="n">
        <v>3</v>
      </c>
      <c r="U18" t="n">
        <v>1</v>
      </c>
      <c r="V18" s="2" t="inlineStr">
        <is>
          <t>Gullpudra
Spillkråka
Trana</t>
        </is>
      </c>
      <c r="W18">
        <f>HYPERLINK("https://klasma.github.io/Logging_0136/artfynd/A 21231-2025 artfynd.xlsx", "A 21231-2025")</f>
        <v/>
      </c>
      <c r="X18">
        <f>HYPERLINK("https://klasma.github.io/Logging_0136/kartor/A 21231-2025 karta.png", "A 21231-2025")</f>
        <v/>
      </c>
      <c r="Y18">
        <f>HYPERLINK("https://klasma.github.io/Logging_0136/kartor_geotiff/A 21231-2025 georefererad karta.tif", "A 21231-2025")</f>
        <v/>
      </c>
      <c r="AA18">
        <f>HYPERLINK("https://klasma.github.io/Logging_0136/klagomål/A 21231-2025 FSC-klagomål.docx", "A 21231-2025")</f>
        <v/>
      </c>
      <c r="AB18">
        <f>HYPERLINK("https://klasma.github.io/Logging_0136/klagomålsmail/A 21231-2025 FSC-klagomål mail.docx", "A 21231-2025")</f>
        <v/>
      </c>
      <c r="AC18">
        <f>HYPERLINK("https://klasma.github.io/Logging_0136/tillsyn/A 21231-2025 tillsynsbegäran.docx", "A 21231-2025")</f>
        <v/>
      </c>
      <c r="AD18">
        <f>HYPERLINK("https://klasma.github.io/Logging_0136/tillsynsmail/A 21231-2025 tillsynsbegäran mail.docx", "A 21231-2025")</f>
        <v/>
      </c>
      <c r="AE18">
        <f>HYPERLINK("https://klasma.github.io/Logging_0136/fåglar/A 21231-2025 prioriterade fågelarter.docx", "A 21231-2025")</f>
        <v/>
      </c>
    </row>
    <row r="19" ht="15" customHeight="1">
      <c r="A19" t="inlineStr">
        <is>
          <t>A 14729-2023</t>
        </is>
      </c>
      <c r="B19" t="inlineStr">
        <is>
          <t>avverkningsanmälan</t>
        </is>
      </c>
      <c r="C19" t="inlineStr">
        <is>
          <t>Föryngringsavverkning</t>
        </is>
      </c>
      <c r="D19" s="1" t="n">
        <v>45014</v>
      </c>
      <c r="E19" s="1" t="n">
        <v>46319</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39636-2022</t>
        </is>
      </c>
      <c r="B20" t="inlineStr">
        <is>
          <t>avverkningsanmälan</t>
        </is>
      </c>
      <c r="C20" t="inlineStr">
        <is>
          <t>Föryngringsavverkning</t>
        </is>
      </c>
      <c r="D20" s="1" t="n">
        <v>44818</v>
      </c>
      <c r="E20" s="1" t="n">
        <v>46319</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46319</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46319</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46319</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32479-2026</t>
        </is>
      </c>
      <c r="B24" t="inlineStr">
        <is>
          <t>avverkningsanmälan</t>
        </is>
      </c>
      <c r="C24" t="inlineStr">
        <is>
          <t>Föryngringsavverkning</t>
        </is>
      </c>
      <c r="D24" s="1" t="n">
        <v>46239</v>
      </c>
      <c r="E24" s="1" t="n">
        <v>46319</v>
      </c>
      <c r="F24" t="inlineStr">
        <is>
          <t>STOCKHOLMS LÄN</t>
        </is>
      </c>
      <c r="G24" t="inlineStr">
        <is>
          <t>HANINGE</t>
        </is>
      </c>
      <c r="I24" t="n">
        <v>6.9</v>
      </c>
      <c r="J24" t="n">
        <v>0</v>
      </c>
      <c r="K24" t="n">
        <v>1</v>
      </c>
      <c r="L24" t="n">
        <v>0</v>
      </c>
      <c r="M24" t="n">
        <v>0</v>
      </c>
      <c r="N24" t="n">
        <v>0</v>
      </c>
      <c r="O24" t="n">
        <v>0</v>
      </c>
      <c r="P24" t="n">
        <v>0</v>
      </c>
      <c r="Q24" t="n">
        <v>0</v>
      </c>
      <c r="R24" t="n">
        <v>0</v>
      </c>
      <c r="S24" t="n">
        <v>1</v>
      </c>
      <c r="T24" t="n">
        <v>1</v>
      </c>
      <c r="U24" t="n">
        <v>0</v>
      </c>
      <c r="V24" s="2" t="inlineStr">
        <is>
          <t>Kambräken</t>
        </is>
      </c>
      <c r="W24">
        <f>HYPERLINK("https://klasma.github.io/Logging_0136/artfynd/A 32479-2026 artfynd.xlsx", "A 32479-2026")</f>
        <v/>
      </c>
      <c r="X24">
        <f>HYPERLINK("https://klasma.github.io/Logging_0136/kartor/A 32479-2026 karta.png", "A 32479-2026")</f>
        <v/>
      </c>
      <c r="Y24">
        <f>HYPERLINK("https://klasma.github.io/Logging_0136/kartor_geotiff/A 32479-2026 georefererad karta.tif", "A 32479-2026")</f>
        <v/>
      </c>
      <c r="AA24">
        <f>HYPERLINK("https://klasma.github.io/Logging_0136/klagomål/A 32479-2026 FSC-klagomål.docx", "A 32479-2026")</f>
        <v/>
      </c>
      <c r="AB24">
        <f>HYPERLINK("https://klasma.github.io/Logging_0136/klagomålsmail/A 32479-2026 FSC-klagomål mail.docx", "A 32479-2026")</f>
        <v/>
      </c>
      <c r="AC24">
        <f>HYPERLINK("https://klasma.github.io/Logging_0136/tillsyn/A 32479-2026 tillsynsbegäran.docx", "A 32479-2026")</f>
        <v/>
      </c>
      <c r="AD24">
        <f>HYPERLINK("https://klasma.github.io/Logging_0136/tillsynsmail/A 32479-2026 tillsynsbegäran mail.docx", "A 32479-2026")</f>
        <v/>
      </c>
    </row>
    <row r="25" ht="15" customHeight="1">
      <c r="A25" t="inlineStr">
        <is>
          <t>A 6648-2023</t>
        </is>
      </c>
      <c r="B25" t="inlineStr">
        <is>
          <t>avverkningsanmälan</t>
        </is>
      </c>
      <c r="C25" t="inlineStr">
        <is>
          <t>Föryngringsavverkning</t>
        </is>
      </c>
      <c r="D25" s="1" t="n">
        <v>44966</v>
      </c>
      <c r="E25" s="1" t="n">
        <v>46319</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34823-2022</t>
        </is>
      </c>
      <c r="B26" t="inlineStr">
        <is>
          <t>avverkningsanmälan</t>
        </is>
      </c>
      <c r="C26" t="inlineStr">
        <is>
          <t>Föryngringsavverkning</t>
        </is>
      </c>
      <c r="D26" s="1" t="n">
        <v>44796</v>
      </c>
      <c r="E26" s="1" t="n">
        <v>46319</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41259-2022</t>
        </is>
      </c>
      <c r="B27" t="inlineStr">
        <is>
          <t>avverkningsanmälan</t>
        </is>
      </c>
      <c r="C27" t="inlineStr">
        <is>
          <t>Föryngringsavverkning</t>
        </is>
      </c>
      <c r="D27" s="1" t="n">
        <v>44825</v>
      </c>
      <c r="E27" s="1" t="n">
        <v>46319</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46319</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46319</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46319</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46319</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46319</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46319</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46319</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46319</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68894-2021</t>
        </is>
      </c>
      <c r="B36" t="inlineStr">
        <is>
          <t>avverkningsanmälan</t>
        </is>
      </c>
      <c r="C36" t="inlineStr">
        <is>
          <t>Föryngringsavverkning</t>
        </is>
      </c>
      <c r="D36" s="1" t="n">
        <v>44526</v>
      </c>
      <c r="E36" s="1" t="n">
        <v>46319</v>
      </c>
      <c r="F36" t="inlineStr">
        <is>
          <t>STOCKHOLMS LÄN</t>
        </is>
      </c>
      <c r="G36" t="inlineStr">
        <is>
          <t>HANINGE</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3156-2025</t>
        </is>
      </c>
      <c r="B37" t="inlineStr">
        <is>
          <t>avverkningsanmälan</t>
        </is>
      </c>
      <c r="C37" t="inlineStr">
        <is>
          <t>Föryngringsavverkning</t>
        </is>
      </c>
      <c r="D37" s="1" t="n">
        <v>45679</v>
      </c>
      <c r="E37" s="1" t="n">
        <v>46319</v>
      </c>
      <c r="F37" t="inlineStr">
        <is>
          <t>STOCKHOLMS LÄN</t>
        </is>
      </c>
      <c r="G37" t="inlineStr">
        <is>
          <t>HANINGE</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46319</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24800-2026</t>
        </is>
      </c>
      <c r="B39" t="inlineStr">
        <is>
          <t>avverkningsanmälan</t>
        </is>
      </c>
      <c r="C39" t="inlineStr">
        <is>
          <t>Föryngringsavverkning</t>
        </is>
      </c>
      <c r="D39" s="1" t="n">
        <v>46171</v>
      </c>
      <c r="E39" s="1" t="n">
        <v>46319</v>
      </c>
      <c r="F39" t="inlineStr">
        <is>
          <t>STOCKHOLMS LÄN</t>
        </is>
      </c>
      <c r="G39" t="inlineStr">
        <is>
          <t>HANINGE</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8078-2024</t>
        </is>
      </c>
      <c r="B40" t="inlineStr">
        <is>
          <t>avverkningsanmälan</t>
        </is>
      </c>
      <c r="C40" t="inlineStr">
        <is>
          <t>Föryngringsavverkning</t>
        </is>
      </c>
      <c r="D40" s="1" t="n">
        <v>45351</v>
      </c>
      <c r="E40" s="1" t="n">
        <v>46319</v>
      </c>
      <c r="F40" t="inlineStr">
        <is>
          <t>STOCKHOLMS LÄN</t>
        </is>
      </c>
      <c r="G40" t="inlineStr">
        <is>
          <t>HANINGE</t>
        </is>
      </c>
      <c r="H40" t="inlineStr">
        <is>
          <t>Kommuner</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24873-2023</t>
        </is>
      </c>
      <c r="B41" t="inlineStr">
        <is>
          <t>avverkningsanmälan</t>
        </is>
      </c>
      <c r="C41" t="inlineStr">
        <is>
          <t>Föryngringsavverkning</t>
        </is>
      </c>
      <c r="D41" s="1" t="n">
        <v>45085</v>
      </c>
      <c r="E41" s="1" t="n">
        <v>46319</v>
      </c>
      <c r="F41" t="inlineStr">
        <is>
          <t>STOCKHOLMS LÄN</t>
        </is>
      </c>
      <c r="G41" t="inlineStr">
        <is>
          <t>HANINGE</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18491-2025</t>
        </is>
      </c>
      <c r="B42" t="inlineStr">
        <is>
          <t>avverkningsanmälan</t>
        </is>
      </c>
      <c r="C42" t="inlineStr">
        <is>
          <t>Föryngringsavverkning</t>
        </is>
      </c>
      <c r="D42" s="1" t="n">
        <v>45763</v>
      </c>
      <c r="E42" s="1" t="n">
        <v>46319</v>
      </c>
      <c r="F42" t="inlineStr">
        <is>
          <t>STOCKHOLMS LÄN</t>
        </is>
      </c>
      <c r="G42" t="inlineStr">
        <is>
          <t>HANINGE</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23666-2024</t>
        </is>
      </c>
      <c r="B43" t="inlineStr">
        <is>
          <t>avverkningsanmälan</t>
        </is>
      </c>
      <c r="C43" t="inlineStr">
        <is>
          <t>Föryngringsavverkning</t>
        </is>
      </c>
      <c r="D43" s="1" t="n">
        <v>45454</v>
      </c>
      <c r="E43" s="1" t="n">
        <v>46319</v>
      </c>
      <c r="F43" t="inlineStr">
        <is>
          <t>STOCKHOLMS LÄN</t>
        </is>
      </c>
      <c r="G43" t="inlineStr">
        <is>
          <t>HANINGE</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46319</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26417-2026</t>
        </is>
      </c>
      <c r="B45" t="inlineStr">
        <is>
          <t>avverkningsanmälan</t>
        </is>
      </c>
      <c r="C45" t="inlineStr">
        <is>
          <t>Föryngringsavverkning</t>
        </is>
      </c>
      <c r="D45" s="1" t="n">
        <v>46183</v>
      </c>
      <c r="E45" s="1" t="n">
        <v>46319</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26886-2026</t>
        </is>
      </c>
      <c r="B46" t="inlineStr">
        <is>
          <t>avverkningsanmälan</t>
        </is>
      </c>
      <c r="C46" t="inlineStr">
        <is>
          <t>Avverkning för annat ändamål</t>
        </is>
      </c>
      <c r="D46" s="1" t="n">
        <v>46185</v>
      </c>
      <c r="E46" s="1" t="n">
        <v>46319</v>
      </c>
      <c r="F46" t="inlineStr">
        <is>
          <t>STOCKHOLMS LÄN</t>
        </is>
      </c>
      <c r="G46" t="inlineStr">
        <is>
          <t>HANINGE</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52836-2024</t>
        </is>
      </c>
      <c r="B47" t="inlineStr">
        <is>
          <t>avverkningsanmälan</t>
        </is>
      </c>
      <c r="C47" t="inlineStr">
        <is>
          <t>Föryngringsavverkning</t>
        </is>
      </c>
      <c r="D47" s="1" t="n">
        <v>45610</v>
      </c>
      <c r="E47" s="1" t="n">
        <v>46319</v>
      </c>
      <c r="F47" t="inlineStr">
        <is>
          <t>STOCKHOLMS LÄN</t>
        </is>
      </c>
      <c r="G47" t="inlineStr">
        <is>
          <t>HANINGE</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5474-2024</t>
        </is>
      </c>
      <c r="B48" t="inlineStr">
        <is>
          <t>avverkningsanmälan</t>
        </is>
      </c>
      <c r="C48" t="inlineStr">
        <is>
          <t>Föryngringsavverkning</t>
        </is>
      </c>
      <c r="D48" s="1" t="n">
        <v>45333</v>
      </c>
      <c r="E48" s="1" t="n">
        <v>46319</v>
      </c>
      <c r="F48" t="inlineStr">
        <is>
          <t>STOCKHOLMS LÄN</t>
        </is>
      </c>
      <c r="G48" t="inlineStr">
        <is>
          <t>HANINGE</t>
        </is>
      </c>
      <c r="H48" t="inlineStr">
        <is>
          <t>Kommuner</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14900-2025</t>
        </is>
      </c>
      <c r="B49" t="inlineStr">
        <is>
          <t>avverkningsanmälan</t>
        </is>
      </c>
      <c r="C49" t="inlineStr">
        <is>
          <t>Föryngringsavverkning</t>
        </is>
      </c>
      <c r="D49" s="1" t="n">
        <v>45743</v>
      </c>
      <c r="E49" s="1" t="n">
        <v>46319</v>
      </c>
      <c r="F49" t="inlineStr">
        <is>
          <t>STOCKHOLMS LÄN</t>
        </is>
      </c>
      <c r="G49" t="inlineStr">
        <is>
          <t>HANINGE</t>
        </is>
      </c>
      <c r="I49" t="n">
        <v>4.5</v>
      </c>
      <c r="J49" t="n">
        <v>0</v>
      </c>
      <c r="K49" t="n">
        <v>0</v>
      </c>
      <c r="L49" t="n">
        <v>0</v>
      </c>
      <c r="M49" t="n">
        <v>0</v>
      </c>
      <c r="N49" t="n">
        <v>0</v>
      </c>
      <c r="O49" t="n">
        <v>0</v>
      </c>
      <c r="P49" t="n">
        <v>0</v>
      </c>
      <c r="Q49" t="n">
        <v>0</v>
      </c>
      <c r="R49" t="n">
        <v>0</v>
      </c>
      <c r="S49" t="n">
        <v>0</v>
      </c>
      <c r="T49" t="n">
        <v>0</v>
      </c>
      <c r="U49" t="n">
        <v>0</v>
      </c>
      <c r="V49" s="2" t="inlineStr"/>
    </row>
    <row r="50" ht="15" customHeight="1">
      <c r="A50" t="inlineStr">
        <is>
          <t>A 32486-2026</t>
        </is>
      </c>
      <c r="B50" t="inlineStr">
        <is>
          <t>avverkningsanmälan</t>
        </is>
      </c>
      <c r="C50" t="inlineStr">
        <is>
          <t>Föryngringsavverkning</t>
        </is>
      </c>
      <c r="D50" s="1" t="n">
        <v>46239</v>
      </c>
      <c r="E50" s="1" t="n">
        <v>46319</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24193-2025</t>
        </is>
      </c>
      <c r="B51" t="inlineStr">
        <is>
          <t>avverkningsanmälan</t>
        </is>
      </c>
      <c r="C51" t="inlineStr">
        <is>
          <t>Föryngringsavverkning</t>
        </is>
      </c>
      <c r="D51" s="1" t="n">
        <v>45796</v>
      </c>
      <c r="E51" s="1" t="n">
        <v>46319</v>
      </c>
      <c r="F51" t="inlineStr">
        <is>
          <t>STOCKHOLMS LÄN</t>
        </is>
      </c>
      <c r="G51" t="inlineStr">
        <is>
          <t>HANINGE</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64075-2023</t>
        </is>
      </c>
      <c r="B52" t="inlineStr">
        <is>
          <t>avverkningsanmälan</t>
        </is>
      </c>
      <c r="C52" t="inlineStr">
        <is>
          <t>Föryngringsavverkning</t>
        </is>
      </c>
      <c r="D52" s="1" t="n">
        <v>45279</v>
      </c>
      <c r="E52" s="1" t="n">
        <v>46319</v>
      </c>
      <c r="F52" t="inlineStr">
        <is>
          <t>STOCKHOLMS LÄN</t>
        </is>
      </c>
      <c r="G52" t="inlineStr">
        <is>
          <t>HANINGE</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46319</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12787-2026</t>
        </is>
      </c>
      <c r="B54" t="inlineStr">
        <is>
          <t>avverkningsanmälan</t>
        </is>
      </c>
      <c r="C54" t="inlineStr">
        <is>
          <t>Föryngringsavverkning</t>
        </is>
      </c>
      <c r="D54" s="1" t="n">
        <v>46091</v>
      </c>
      <c r="E54" s="1" t="n">
        <v>46319</v>
      </c>
      <c r="F54" t="inlineStr">
        <is>
          <t>STOCKHOLMS LÄN</t>
        </is>
      </c>
      <c r="G54" t="inlineStr">
        <is>
          <t>HANINGE</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68896-2021</t>
        </is>
      </c>
      <c r="B55" t="inlineStr">
        <is>
          <t>avverkningsanmälan</t>
        </is>
      </c>
      <c r="C55" t="inlineStr">
        <is>
          <t>Föryngringsavverkning</t>
        </is>
      </c>
      <c r="D55" s="1" t="n">
        <v>44526</v>
      </c>
      <c r="E55" s="1" t="n">
        <v>46319</v>
      </c>
      <c r="F55" t="inlineStr">
        <is>
          <t>STOCKHOLMS LÄN</t>
        </is>
      </c>
      <c r="G55" t="inlineStr">
        <is>
          <t>HANINGE</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14264-2025</t>
        </is>
      </c>
      <c r="B56" t="inlineStr">
        <is>
          <t>avverkningsanmälan</t>
        </is>
      </c>
      <c r="C56" t="inlineStr">
        <is>
          <t>Föryngringsavverkning</t>
        </is>
      </c>
      <c r="D56" s="1" t="n">
        <v>45740</v>
      </c>
      <c r="E56" s="1" t="n">
        <v>46319</v>
      </c>
      <c r="F56" t="inlineStr">
        <is>
          <t>STOCKHOLMS LÄN</t>
        </is>
      </c>
      <c r="G56" t="inlineStr">
        <is>
          <t>HANINGE</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42392-2026</t>
        </is>
      </c>
      <c r="B57" t="inlineStr">
        <is>
          <t>avverkningsanmälan</t>
        </is>
      </c>
      <c r="C57" t="inlineStr">
        <is>
          <t>Föryngringsavverkning</t>
        </is>
      </c>
      <c r="D57" s="1" t="n">
        <v>46307</v>
      </c>
      <c r="E57" s="1" t="n">
        <v>46319</v>
      </c>
      <c r="F57" t="inlineStr">
        <is>
          <t>STOCKHOLMS LÄN</t>
        </is>
      </c>
      <c r="G57" t="inlineStr">
        <is>
          <t>HANINGE</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42952-2026</t>
        </is>
      </c>
      <c r="B58" t="inlineStr">
        <is>
          <t>avverkningsanmälan</t>
        </is>
      </c>
      <c r="C58" t="inlineStr">
        <is>
          <t>Föryngringsavverkning</t>
        </is>
      </c>
      <c r="D58" s="1" t="n">
        <v>46310</v>
      </c>
      <c r="E58" s="1" t="n">
        <v>46319</v>
      </c>
      <c r="F58" t="inlineStr">
        <is>
          <t>STOCKHOLMS LÄN</t>
        </is>
      </c>
      <c r="G58" t="inlineStr">
        <is>
          <t>HANINGE</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42975-2026</t>
        </is>
      </c>
      <c r="B59" t="inlineStr">
        <is>
          <t>avverkningsanmälan</t>
        </is>
      </c>
      <c r="C59" t="inlineStr">
        <is>
          <t>Föryngringsavverkning</t>
        </is>
      </c>
      <c r="D59" s="1" t="n">
        <v>46310</v>
      </c>
      <c r="E59" s="1" t="n">
        <v>46319</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46319</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32948-2025</t>
        </is>
      </c>
      <c r="B61" t="inlineStr">
        <is>
          <t>avverkningsanmälan</t>
        </is>
      </c>
      <c r="C61" t="inlineStr">
        <is>
          <t>Föryngringsavverkning</t>
        </is>
      </c>
      <c r="D61" s="1" t="n">
        <v>45839</v>
      </c>
      <c r="E61" s="1" t="n">
        <v>46319</v>
      </c>
      <c r="F61" t="inlineStr">
        <is>
          <t>STOCKHOLMS LÄN</t>
        </is>
      </c>
      <c r="G61" t="inlineStr">
        <is>
          <t>HANINGE</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52770-2024</t>
        </is>
      </c>
      <c r="B62" t="inlineStr">
        <is>
          <t>avverkningsanmälan</t>
        </is>
      </c>
      <c r="C62" t="inlineStr">
        <is>
          <t>Föryngringsavverkning</t>
        </is>
      </c>
      <c r="D62" s="1" t="n">
        <v>45610</v>
      </c>
      <c r="E62" s="1" t="n">
        <v>46319</v>
      </c>
      <c r="F62" t="inlineStr">
        <is>
          <t>STOCKHOLMS LÄN</t>
        </is>
      </c>
      <c r="G62" t="inlineStr">
        <is>
          <t>HANINGE</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58599-2023</t>
        </is>
      </c>
      <c r="B63" t="inlineStr">
        <is>
          <t>avverkningsanmälan</t>
        </is>
      </c>
      <c r="C63" t="inlineStr">
        <is>
          <t>Föryngringsavverkning</t>
        </is>
      </c>
      <c r="D63" s="1" t="n">
        <v>45251</v>
      </c>
      <c r="E63" s="1" t="n">
        <v>46319</v>
      </c>
      <c r="F63" t="inlineStr">
        <is>
          <t>STOCKHOLMS LÄN</t>
        </is>
      </c>
      <c r="G63" t="inlineStr">
        <is>
          <t>HANINGE</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18528-2024</t>
        </is>
      </c>
      <c r="B64" t="inlineStr">
        <is>
          <t>avverkningsanmälan</t>
        </is>
      </c>
      <c r="C64" t="inlineStr">
        <is>
          <t>Föryngringsavverkning</t>
        </is>
      </c>
      <c r="D64" s="1" t="n">
        <v>45425</v>
      </c>
      <c r="E64" s="1" t="n">
        <v>46319</v>
      </c>
      <c r="F64" t="inlineStr">
        <is>
          <t>STOCKHOLMS LÄN</t>
        </is>
      </c>
      <c r="G64" t="inlineStr">
        <is>
          <t>HANINGE</t>
        </is>
      </c>
      <c r="H64" t="inlineStr">
        <is>
          <t>Kommuner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50306-2023</t>
        </is>
      </c>
      <c r="B65" t="inlineStr">
        <is>
          <t>avverkningsanmälan</t>
        </is>
      </c>
      <c r="C65" t="inlineStr">
        <is>
          <t>Föryngringsavverkning</t>
        </is>
      </c>
      <c r="D65" s="1" t="n">
        <v>45209</v>
      </c>
      <c r="E65" s="1" t="n">
        <v>46319</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c r="Z65">
        <f>HYPERLINK("https://klasma.github.io/Logging_0136/knärot/A 50306-2023 karta knärot.png", "A 50306-2023")</f>
        <v/>
      </c>
      <c r="AA65">
        <f>HYPERLINK("https://klasma.github.io/Logging_0136/klagomål/A 50306-2023 FSC-klagomål.docx", "A 50306-2023")</f>
        <v/>
      </c>
      <c r="AB65">
        <f>HYPERLINK("https://klasma.github.io/Logging_0136/klagomålsmail/A 50306-2023 FSC-klagomål mail.docx", "A 50306-2023")</f>
        <v/>
      </c>
      <c r="AC65">
        <f>HYPERLINK("https://klasma.github.io/Logging_0136/tillsyn/A 50306-2023 tillsynsbegäran.docx", "A 50306-2023")</f>
        <v/>
      </c>
      <c r="AD65">
        <f>HYPERLINK("https://klasma.github.io/Logging_0136/tillsynsmail/A 50306-2023 tillsynsbegäran mail.docx", "A 50306-2023")</f>
        <v/>
      </c>
    </row>
    <row r="66" ht="15" customHeight="1">
      <c r="A66" t="inlineStr">
        <is>
          <t>A 22288-2023</t>
        </is>
      </c>
      <c r="B66" t="inlineStr">
        <is>
          <t>avverkningsanmälan</t>
        </is>
      </c>
      <c r="C66" t="inlineStr">
        <is>
          <t>Föryngringsavverkning</t>
        </is>
      </c>
      <c r="D66" s="1" t="n">
        <v>45070</v>
      </c>
      <c r="E66" s="1" t="n">
        <v>46319</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46319</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20839-2024</t>
        </is>
      </c>
      <c r="B68" t="inlineStr">
        <is>
          <t>avverkningsanmälan</t>
        </is>
      </c>
      <c r="C68" t="inlineStr">
        <is>
          <t>Föryngringsavverkning</t>
        </is>
      </c>
      <c r="D68" s="1" t="n">
        <v>45439</v>
      </c>
      <c r="E68" s="1" t="n">
        <v>46319</v>
      </c>
      <c r="F68" t="inlineStr">
        <is>
          <t>STOCKHOLMS LÄN</t>
        </is>
      </c>
      <c r="G68" t="inlineStr">
        <is>
          <t>HANINGE</t>
        </is>
      </c>
      <c r="I68" t="n">
        <v>8.4</v>
      </c>
      <c r="J68" t="n">
        <v>0</v>
      </c>
      <c r="K68" t="n">
        <v>0</v>
      </c>
      <c r="L68" t="n">
        <v>0</v>
      </c>
      <c r="M68" t="n">
        <v>0</v>
      </c>
      <c r="N68" t="n">
        <v>0</v>
      </c>
      <c r="O68" t="n">
        <v>0</v>
      </c>
      <c r="P68" t="n">
        <v>0</v>
      </c>
      <c r="Q68" t="n">
        <v>0</v>
      </c>
      <c r="R68" t="n">
        <v>0</v>
      </c>
      <c r="S68" t="n">
        <v>0</v>
      </c>
      <c r="T68" t="n">
        <v>0</v>
      </c>
      <c r="U68" t="n">
        <v>0</v>
      </c>
      <c r="V68" s="2" t="inlineStr"/>
    </row>
    <row r="69" ht="15" customHeight="1">
      <c r="A69" t="inlineStr">
        <is>
          <t>A 18512-2024</t>
        </is>
      </c>
      <c r="B69" t="inlineStr">
        <is>
          <t>avverkningsanmälan</t>
        </is>
      </c>
      <c r="C69" t="inlineStr">
        <is>
          <t>Föryngringsavverkning</t>
        </is>
      </c>
      <c r="D69" s="1" t="n">
        <v>45425</v>
      </c>
      <c r="E69" s="1" t="n">
        <v>46319</v>
      </c>
      <c r="F69" t="inlineStr">
        <is>
          <t>STOCKHOLMS LÄN</t>
        </is>
      </c>
      <c r="G69" t="inlineStr">
        <is>
          <t>HANINGE</t>
        </is>
      </c>
      <c r="H69" t="inlineStr">
        <is>
          <t>Kommuner</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4297-2024</t>
        </is>
      </c>
      <c r="B70" t="inlineStr">
        <is>
          <t>avverkningsanmälan</t>
        </is>
      </c>
      <c r="C70" t="inlineStr">
        <is>
          <t>Föryngringsavverkning</t>
        </is>
      </c>
      <c r="D70" s="1" t="n">
        <v>45324</v>
      </c>
      <c r="E70" s="1" t="n">
        <v>46319</v>
      </c>
      <c r="F70" t="inlineStr">
        <is>
          <t>STOCKHOLMS LÄN</t>
        </is>
      </c>
      <c r="G70" t="inlineStr">
        <is>
          <t>HANINGE</t>
        </is>
      </c>
      <c r="H70" t="inlineStr">
        <is>
          <t>Kommuner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17765-2024</t>
        </is>
      </c>
      <c r="B71" t="inlineStr">
        <is>
          <t>avverkningsanmälan</t>
        </is>
      </c>
      <c r="C71" t="inlineStr">
        <is>
          <t>Föryngringsavverkning</t>
        </is>
      </c>
      <c r="D71" s="1" t="n">
        <v>45418</v>
      </c>
      <c r="E71" s="1" t="n">
        <v>46319</v>
      </c>
      <c r="F71" t="inlineStr">
        <is>
          <t>STOCKHOLMS LÄN</t>
        </is>
      </c>
      <c r="G71" t="inlineStr">
        <is>
          <t>HANINGE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25584-2023</t>
        </is>
      </c>
      <c r="B72" t="inlineStr">
        <is>
          <t>avverkningsanmälan</t>
        </is>
      </c>
      <c r="C72" t="inlineStr">
        <is>
          <t>Föryngringsavverkning</t>
        </is>
      </c>
      <c r="D72" s="1" t="n">
        <v>45089</v>
      </c>
      <c r="E72" s="1" t="n">
        <v>46319</v>
      </c>
      <c r="F72" t="inlineStr">
        <is>
          <t>STOCKHOLMS LÄN</t>
        </is>
      </c>
      <c r="G72" t="inlineStr">
        <is>
          <t>HANINGE</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20527-2025</t>
        </is>
      </c>
      <c r="B73" t="inlineStr">
        <is>
          <t>avverkningsanmälan</t>
        </is>
      </c>
      <c r="C73" t="inlineStr">
        <is>
          <t>Föryngringsavverkning</t>
        </is>
      </c>
      <c r="D73" s="1" t="n">
        <v>45775</v>
      </c>
      <c r="E73" s="1" t="n">
        <v>46319</v>
      </c>
      <c r="F73" t="inlineStr">
        <is>
          <t>STOCKHOLMS LÄN</t>
        </is>
      </c>
      <c r="G73" t="inlineStr">
        <is>
          <t>HANINGE</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1180-2024</t>
        </is>
      </c>
      <c r="B74" t="inlineStr">
        <is>
          <t>avverkningsanmälan</t>
        </is>
      </c>
      <c r="C74" t="inlineStr">
        <is>
          <t>Föryngringsavverkning</t>
        </is>
      </c>
      <c r="D74" s="1" t="n">
        <v>45302</v>
      </c>
      <c r="E74" s="1" t="n">
        <v>46319</v>
      </c>
      <c r="F74" t="inlineStr">
        <is>
          <t>STOCKHOLMS LÄN</t>
        </is>
      </c>
      <c r="G74" t="inlineStr">
        <is>
          <t>HANINGE</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46319</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18490-2025</t>
        </is>
      </c>
      <c r="B76" t="inlineStr">
        <is>
          <t>avverkningsanmälan</t>
        </is>
      </c>
      <c r="C76" t="inlineStr">
        <is>
          <t>Föryngringsavverkning</t>
        </is>
      </c>
      <c r="D76" s="1" t="n">
        <v>45763</v>
      </c>
      <c r="E76" s="1" t="n">
        <v>46319</v>
      </c>
      <c r="F76" t="inlineStr">
        <is>
          <t>STOCKHOLMS LÄN</t>
        </is>
      </c>
      <c r="G76" t="inlineStr">
        <is>
          <t>HANINGE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64568-2023</t>
        </is>
      </c>
      <c r="B77" t="inlineStr">
        <is>
          <t>avverkningsanmälan</t>
        </is>
      </c>
      <c r="C77" t="inlineStr">
        <is>
          <t>Föryngringsavverkning</t>
        </is>
      </c>
      <c r="D77" s="1" t="n">
        <v>45281</v>
      </c>
      <c r="E77" s="1" t="n">
        <v>46319</v>
      </c>
      <c r="F77" t="inlineStr">
        <is>
          <t>STOCKHOLMS LÄN</t>
        </is>
      </c>
      <c r="G77" t="inlineStr">
        <is>
          <t>HANINGE</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18548-2024</t>
        </is>
      </c>
      <c r="B78" t="inlineStr">
        <is>
          <t>avverkningsanmälan</t>
        </is>
      </c>
      <c r="C78" t="inlineStr">
        <is>
          <t>Föryngringsavverkning</t>
        </is>
      </c>
      <c r="D78" s="1" t="n">
        <v>45425</v>
      </c>
      <c r="E78" s="1" t="n">
        <v>46319</v>
      </c>
      <c r="F78" t="inlineStr">
        <is>
          <t>STOCKHOLMS LÄN</t>
        </is>
      </c>
      <c r="G78" t="inlineStr">
        <is>
          <t>HANINGE</t>
        </is>
      </c>
      <c r="H78" t="inlineStr">
        <is>
          <t>Kommuner</t>
        </is>
      </c>
      <c r="I78" t="n">
        <v>7.3</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46319</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2026-10-24T02:04:59Z</dcterms:created>
  <dcterms:modified xmlns:dcterms="http://purl.org/dc/terms/" xmlns:xsi="http://www.w3.org/2001/XMLSchema-instance" xsi:type="dcterms:W3CDTF">2026-10-24T02:04:59Z</dcterms:modified>
</cp:coreProperties>
</file>