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45965</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45965</v>
      </c>
      <c r="D3" t="inlineStr">
        <is>
          <t>STOCKHOLMS LÄN</t>
        </is>
      </c>
      <c r="E3" t="inlineStr">
        <is>
          <t>HANINGE</t>
        </is>
      </c>
      <c r="G3" t="n">
        <v>19.8</v>
      </c>
      <c r="H3" t="n">
        <v>15</v>
      </c>
      <c r="I3" t="n">
        <v>19</v>
      </c>
      <c r="J3" t="n">
        <v>12</v>
      </c>
      <c r="K3" t="n">
        <v>3</v>
      </c>
      <c r="L3" t="n">
        <v>0</v>
      </c>
      <c r="M3" t="n">
        <v>0</v>
      </c>
      <c r="N3" t="n">
        <v>0</v>
      </c>
      <c r="O3" t="n">
        <v>15</v>
      </c>
      <c r="P3" t="n">
        <v>3</v>
      </c>
      <c r="Q3" t="n">
        <v>41</v>
      </c>
      <c r="R3"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45965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45965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45965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45965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45965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45965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45965</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45965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57469-2020</t>
        </is>
      </c>
      <c r="B12" s="1" t="n">
        <v>44139</v>
      </c>
      <c r="C12" s="1" t="n">
        <v>45965</v>
      </c>
      <c r="D12" t="inlineStr">
        <is>
          <t>STOCKHOLMS LÄN</t>
        </is>
      </c>
      <c r="E12" t="inlineStr">
        <is>
          <t>HANINGE</t>
        </is>
      </c>
      <c r="G12" t="n">
        <v>12.8</v>
      </c>
      <c r="H12" t="n">
        <v>1</v>
      </c>
      <c r="I12" t="n">
        <v>6</v>
      </c>
      <c r="J12" t="n">
        <v>0</v>
      </c>
      <c r="K12" t="n">
        <v>0</v>
      </c>
      <c r="L12" t="n">
        <v>0</v>
      </c>
      <c r="M12" t="n">
        <v>0</v>
      </c>
      <c r="N12" t="n">
        <v>0</v>
      </c>
      <c r="O12" t="n">
        <v>0</v>
      </c>
      <c r="P12" t="n">
        <v>0</v>
      </c>
      <c r="Q12" t="n">
        <v>6</v>
      </c>
      <c r="R12" s="2" t="inlineStr">
        <is>
          <t>Bronshjon
Grön sköldmossa
Skogshakmossa
Stubbspretmossa
Vedticka
Vågbandad barkbock</t>
        </is>
      </c>
      <c r="S12">
        <f>HYPERLINK("https://klasma.github.io/Logging_0136/artfynd/A 57469-2020 artfynd.xlsx", "A 57469-2020")</f>
        <v/>
      </c>
      <c r="T12">
        <f>HYPERLINK("https://klasma.github.io/Logging_0136/kartor/A 57469-2020 karta.png", "A 57469-2020")</f>
        <v/>
      </c>
      <c r="V12">
        <f>HYPERLINK("https://klasma.github.io/Logging_0136/klagomål/A 57469-2020 FSC-klagomål.docx", "A 57469-2020")</f>
        <v/>
      </c>
      <c r="W12">
        <f>HYPERLINK("https://klasma.github.io/Logging_0136/klagomålsmail/A 57469-2020 FSC-klagomål mail.docx", "A 57469-2020")</f>
        <v/>
      </c>
      <c r="X12">
        <f>HYPERLINK("https://klasma.github.io/Logging_0136/tillsyn/A 57469-2020 tillsynsbegäran.docx", "A 57469-2020")</f>
        <v/>
      </c>
      <c r="Y12">
        <f>HYPERLINK("https://klasma.github.io/Logging_0136/tillsynsmail/A 57469-2020 tillsynsbegäran mail.docx", "A 57469-2020")</f>
        <v/>
      </c>
    </row>
    <row r="13" ht="15" customHeight="1">
      <c r="A13" t="inlineStr">
        <is>
          <t>A 47707-2023</t>
        </is>
      </c>
      <c r="B13" s="1" t="n">
        <v>45203</v>
      </c>
      <c r="C13" s="1" t="n">
        <v>45965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45965</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24189-2025</t>
        </is>
      </c>
      <c r="B15" s="1" t="n">
        <v>45796.84584490741</v>
      </c>
      <c r="C15" s="1" t="n">
        <v>45965</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45965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1424-2021</t>
        </is>
      </c>
      <c r="B17" s="1" t="n">
        <v>44208</v>
      </c>
      <c r="C17" s="1" t="n">
        <v>45965</v>
      </c>
      <c r="D17" t="inlineStr">
        <is>
          <t>STOCKHOLMS LÄN</t>
        </is>
      </c>
      <c r="E17" t="inlineStr">
        <is>
          <t>HANINGE</t>
        </is>
      </c>
      <c r="G17" t="n">
        <v>1.7</v>
      </c>
      <c r="H17" t="n">
        <v>1</v>
      </c>
      <c r="I17" t="n">
        <v>1</v>
      </c>
      <c r="J17" t="n">
        <v>0</v>
      </c>
      <c r="K17" t="n">
        <v>0</v>
      </c>
      <c r="L17" t="n">
        <v>0</v>
      </c>
      <c r="M17" t="n">
        <v>0</v>
      </c>
      <c r="N17" t="n">
        <v>0</v>
      </c>
      <c r="O17" t="n">
        <v>0</v>
      </c>
      <c r="P17" t="n">
        <v>0</v>
      </c>
      <c r="Q17" t="n">
        <v>1</v>
      </c>
      <c r="R17" s="2" t="inlineStr">
        <is>
          <t>Tvåblad</t>
        </is>
      </c>
      <c r="S17">
        <f>HYPERLINK("https://klasma.github.io/Logging_0136/artfynd/A 1424-2021 artfynd.xlsx", "A 1424-2021")</f>
        <v/>
      </c>
      <c r="T17">
        <f>HYPERLINK("https://klasma.github.io/Logging_0136/kartor/A 1424-2021 karta.png", "A 1424-2021")</f>
        <v/>
      </c>
      <c r="U17">
        <f>HYPERLINK("https://klasma.github.io/Logging_0136/knärot/A 1424-2021 karta knärot.png", "A 1424-2021")</f>
        <v/>
      </c>
      <c r="V17">
        <f>HYPERLINK("https://klasma.github.io/Logging_0136/klagomål/A 1424-2021 FSC-klagomål.docx", "A 1424-2021")</f>
        <v/>
      </c>
      <c r="W17">
        <f>HYPERLINK("https://klasma.github.io/Logging_0136/klagomålsmail/A 1424-2021 FSC-klagomål mail.docx", "A 1424-2021")</f>
        <v/>
      </c>
      <c r="X17">
        <f>HYPERLINK("https://klasma.github.io/Logging_0136/tillsyn/A 1424-2021 tillsynsbegäran.docx", "A 1424-2021")</f>
        <v/>
      </c>
      <c r="Y17">
        <f>HYPERLINK("https://klasma.github.io/Logging_0136/tillsynsmail/A 1424-2021 tillsynsbegäran mail.docx", "A 1424-2021")</f>
        <v/>
      </c>
    </row>
    <row r="18" ht="15" customHeight="1">
      <c r="A18" t="inlineStr">
        <is>
          <t>A 39636-2022</t>
        </is>
      </c>
      <c r="B18" s="1" t="n">
        <v>44818</v>
      </c>
      <c r="C18" s="1" t="n">
        <v>45965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45965</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45965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45965</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45965</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45965</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31780-2021</t>
        </is>
      </c>
      <c r="B24" s="1" t="n">
        <v>44369</v>
      </c>
      <c r="C24" s="1" t="n">
        <v>45965</v>
      </c>
      <c r="D24" t="inlineStr">
        <is>
          <t>STOCKHOLMS LÄN</t>
        </is>
      </c>
      <c r="E24" t="inlineStr">
        <is>
          <t>HANINGE</t>
        </is>
      </c>
      <c r="G24" t="n">
        <v>11.5</v>
      </c>
      <c r="H24" t="n">
        <v>0</v>
      </c>
      <c r="I24" t="n">
        <v>0</v>
      </c>
      <c r="J24" t="n">
        <v>0</v>
      </c>
      <c r="K24" t="n">
        <v>0</v>
      </c>
      <c r="L24" t="n">
        <v>0</v>
      </c>
      <c r="M24" t="n">
        <v>0</v>
      </c>
      <c r="N24" t="n">
        <v>0</v>
      </c>
      <c r="O24" t="n">
        <v>0</v>
      </c>
      <c r="P24" t="n">
        <v>0</v>
      </c>
      <c r="Q24" t="n">
        <v>0</v>
      </c>
      <c r="R24" s="2" t="inlineStr"/>
    </row>
    <row r="25" ht="15" customHeight="1">
      <c r="A25" t="inlineStr">
        <is>
          <t>A 68904-2021</t>
        </is>
      </c>
      <c r="B25" s="1" t="n">
        <v>44526</v>
      </c>
      <c r="C25" s="1" t="n">
        <v>45965</v>
      </c>
      <c r="D25" t="inlineStr">
        <is>
          <t>STOCKHOLMS LÄN</t>
        </is>
      </c>
      <c r="E25" t="inlineStr">
        <is>
          <t>HANINGE</t>
        </is>
      </c>
      <c r="G25" t="n">
        <v>2.4</v>
      </c>
      <c r="H25" t="n">
        <v>0</v>
      </c>
      <c r="I25" t="n">
        <v>0</v>
      </c>
      <c r="J25" t="n">
        <v>0</v>
      </c>
      <c r="K25" t="n">
        <v>0</v>
      </c>
      <c r="L25" t="n">
        <v>0</v>
      </c>
      <c r="M25" t="n">
        <v>0</v>
      </c>
      <c r="N25" t="n">
        <v>0</v>
      </c>
      <c r="O25" t="n">
        <v>0</v>
      </c>
      <c r="P25" t="n">
        <v>0</v>
      </c>
      <c r="Q25" t="n">
        <v>0</v>
      </c>
      <c r="R25" s="2" t="inlineStr"/>
    </row>
    <row r="26" ht="15" customHeight="1">
      <c r="A26" t="inlineStr">
        <is>
          <t>A 39651-2021</t>
        </is>
      </c>
      <c r="B26" s="1" t="n">
        <v>44417</v>
      </c>
      <c r="C26" s="1" t="n">
        <v>45965</v>
      </c>
      <c r="D26" t="inlineStr">
        <is>
          <t>STOCKHOLMS LÄN</t>
        </is>
      </c>
      <c r="E26" t="inlineStr">
        <is>
          <t>HANINGE</t>
        </is>
      </c>
      <c r="G26" t="n">
        <v>3.6</v>
      </c>
      <c r="H26" t="n">
        <v>0</v>
      </c>
      <c r="I26" t="n">
        <v>0</v>
      </c>
      <c r="J26" t="n">
        <v>0</v>
      </c>
      <c r="K26" t="n">
        <v>0</v>
      </c>
      <c r="L26" t="n">
        <v>0</v>
      </c>
      <c r="M26" t="n">
        <v>0</v>
      </c>
      <c r="N26" t="n">
        <v>0</v>
      </c>
      <c r="O26" t="n">
        <v>0</v>
      </c>
      <c r="P26" t="n">
        <v>0</v>
      </c>
      <c r="Q26" t="n">
        <v>0</v>
      </c>
      <c r="R26" s="2" t="inlineStr"/>
    </row>
    <row r="27" ht="15" customHeight="1">
      <c r="A27" t="inlineStr">
        <is>
          <t>A 1438-2021</t>
        </is>
      </c>
      <c r="B27" s="1" t="n">
        <v>44208</v>
      </c>
      <c r="C27" s="1" t="n">
        <v>45965</v>
      </c>
      <c r="D27" t="inlineStr">
        <is>
          <t>STOCKHOLMS LÄN</t>
        </is>
      </c>
      <c r="E27" t="inlineStr">
        <is>
          <t>HANINGE</t>
        </is>
      </c>
      <c r="G27" t="n">
        <v>3</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45965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1418-2021</t>
        </is>
      </c>
      <c r="B29" s="1" t="n">
        <v>44208</v>
      </c>
      <c r="C29" s="1" t="n">
        <v>45965</v>
      </c>
      <c r="D29" t="inlineStr">
        <is>
          <t>STOCKHOLMS LÄN</t>
        </is>
      </c>
      <c r="E29" t="inlineStr">
        <is>
          <t>HANINGE</t>
        </is>
      </c>
      <c r="G29" t="n">
        <v>4.2</v>
      </c>
      <c r="H29" t="n">
        <v>0</v>
      </c>
      <c r="I29" t="n">
        <v>0</v>
      </c>
      <c r="J29" t="n">
        <v>0</v>
      </c>
      <c r="K29" t="n">
        <v>0</v>
      </c>
      <c r="L29" t="n">
        <v>0</v>
      </c>
      <c r="M29" t="n">
        <v>0</v>
      </c>
      <c r="N29" t="n">
        <v>0</v>
      </c>
      <c r="O29" t="n">
        <v>0</v>
      </c>
      <c r="P29" t="n">
        <v>0</v>
      </c>
      <c r="Q29" t="n">
        <v>0</v>
      </c>
      <c r="R29" s="2" t="inlineStr"/>
    </row>
    <row r="30" ht="15" customHeight="1">
      <c r="A30" t="inlineStr">
        <is>
          <t>A 1420-2021</t>
        </is>
      </c>
      <c r="B30" s="1" t="n">
        <v>44208</v>
      </c>
      <c r="C30" s="1" t="n">
        <v>45965</v>
      </c>
      <c r="D30" t="inlineStr">
        <is>
          <t>STOCKHOLMS LÄN</t>
        </is>
      </c>
      <c r="E30" t="inlineStr">
        <is>
          <t>HANINGE</t>
        </is>
      </c>
      <c r="G30" t="n">
        <v>6.3</v>
      </c>
      <c r="H30" t="n">
        <v>0</v>
      </c>
      <c r="I30" t="n">
        <v>0</v>
      </c>
      <c r="J30" t="n">
        <v>0</v>
      </c>
      <c r="K30" t="n">
        <v>0</v>
      </c>
      <c r="L30" t="n">
        <v>0</v>
      </c>
      <c r="M30" t="n">
        <v>0</v>
      </c>
      <c r="N30" t="n">
        <v>0</v>
      </c>
      <c r="O30" t="n">
        <v>0</v>
      </c>
      <c r="P30" t="n">
        <v>0</v>
      </c>
      <c r="Q30" t="n">
        <v>0</v>
      </c>
      <c r="R30" s="2" t="inlineStr"/>
    </row>
    <row r="31" ht="15" customHeight="1">
      <c r="A31" t="inlineStr">
        <is>
          <t>A 41259-2022</t>
        </is>
      </c>
      <c r="B31" s="1" t="n">
        <v>44825</v>
      </c>
      <c r="C31" s="1" t="n">
        <v>45965</v>
      </c>
      <c r="D31" t="inlineStr">
        <is>
          <t>STOCKHOLMS LÄN</t>
        </is>
      </c>
      <c r="E31" t="inlineStr">
        <is>
          <t>HANINGE</t>
        </is>
      </c>
      <c r="F31" t="inlineStr">
        <is>
          <t>Övriga statliga verk och myndigheter</t>
        </is>
      </c>
      <c r="G31" t="n">
        <v>2.9</v>
      </c>
      <c r="H31" t="n">
        <v>0</v>
      </c>
      <c r="I31" t="n">
        <v>0</v>
      </c>
      <c r="J31" t="n">
        <v>0</v>
      </c>
      <c r="K31" t="n">
        <v>0</v>
      </c>
      <c r="L31" t="n">
        <v>0</v>
      </c>
      <c r="M31" t="n">
        <v>0</v>
      </c>
      <c r="N31" t="n">
        <v>0</v>
      </c>
      <c r="O31" t="n">
        <v>0</v>
      </c>
      <c r="P31" t="n">
        <v>0</v>
      </c>
      <c r="Q31" t="n">
        <v>0</v>
      </c>
      <c r="R31" s="2" t="inlineStr"/>
    </row>
    <row r="32" ht="15" customHeight="1">
      <c r="A32" t="inlineStr">
        <is>
          <t>A 41263-2022</t>
        </is>
      </c>
      <c r="B32" s="1" t="n">
        <v>44825</v>
      </c>
      <c r="C32" s="1" t="n">
        <v>45965</v>
      </c>
      <c r="D32" t="inlineStr">
        <is>
          <t>STOCKHOLMS LÄN</t>
        </is>
      </c>
      <c r="E32" t="inlineStr">
        <is>
          <t>HANINGE</t>
        </is>
      </c>
      <c r="F32" t="inlineStr">
        <is>
          <t>Övriga statliga verk och myndigheter</t>
        </is>
      </c>
      <c r="G32" t="n">
        <v>1.9</v>
      </c>
      <c r="H32" t="n">
        <v>0</v>
      </c>
      <c r="I32" t="n">
        <v>0</v>
      </c>
      <c r="J32" t="n">
        <v>0</v>
      </c>
      <c r="K32" t="n">
        <v>0</v>
      </c>
      <c r="L32" t="n">
        <v>0</v>
      </c>
      <c r="M32" t="n">
        <v>0</v>
      </c>
      <c r="N32" t="n">
        <v>0</v>
      </c>
      <c r="O32" t="n">
        <v>0</v>
      </c>
      <c r="P32" t="n">
        <v>0</v>
      </c>
      <c r="Q32" t="n">
        <v>0</v>
      </c>
      <c r="R32" s="2" t="inlineStr"/>
    </row>
    <row r="33" ht="15" customHeight="1">
      <c r="A33" t="inlineStr">
        <is>
          <t>A 66726-2020</t>
        </is>
      </c>
      <c r="B33" s="1" t="n">
        <v>44179</v>
      </c>
      <c r="C33" s="1" t="n">
        <v>45965</v>
      </c>
      <c r="D33" t="inlineStr">
        <is>
          <t>STOCKHOLMS LÄN</t>
        </is>
      </c>
      <c r="E33" t="inlineStr">
        <is>
          <t>HANINGE</t>
        </is>
      </c>
      <c r="F33" t="inlineStr">
        <is>
          <t>Övriga statliga verk och myndigheter</t>
        </is>
      </c>
      <c r="G33" t="n">
        <v>10.5</v>
      </c>
      <c r="H33" t="n">
        <v>0</v>
      </c>
      <c r="I33" t="n">
        <v>0</v>
      </c>
      <c r="J33" t="n">
        <v>0</v>
      </c>
      <c r="K33" t="n">
        <v>0</v>
      </c>
      <c r="L33" t="n">
        <v>0</v>
      </c>
      <c r="M33" t="n">
        <v>0</v>
      </c>
      <c r="N33" t="n">
        <v>0</v>
      </c>
      <c r="O33" t="n">
        <v>0</v>
      </c>
      <c r="P33" t="n">
        <v>0</v>
      </c>
      <c r="Q33" t="n">
        <v>0</v>
      </c>
      <c r="R33" s="2" t="inlineStr"/>
    </row>
    <row r="34" ht="15" customHeight="1">
      <c r="A34" t="inlineStr">
        <is>
          <t>A 50903-2021</t>
        </is>
      </c>
      <c r="B34" s="1" t="n">
        <v>44460</v>
      </c>
      <c r="C34" s="1" t="n">
        <v>45965</v>
      </c>
      <c r="D34" t="inlineStr">
        <is>
          <t>STOCKHOLMS LÄN</t>
        </is>
      </c>
      <c r="E34" t="inlineStr">
        <is>
          <t>HANINGE</t>
        </is>
      </c>
      <c r="G34" t="n">
        <v>1.5</v>
      </c>
      <c r="H34" t="n">
        <v>0</v>
      </c>
      <c r="I34" t="n">
        <v>0</v>
      </c>
      <c r="J34" t="n">
        <v>0</v>
      </c>
      <c r="K34" t="n">
        <v>0</v>
      </c>
      <c r="L34" t="n">
        <v>0</v>
      </c>
      <c r="M34" t="n">
        <v>0</v>
      </c>
      <c r="N34" t="n">
        <v>0</v>
      </c>
      <c r="O34" t="n">
        <v>0</v>
      </c>
      <c r="P34" t="n">
        <v>0</v>
      </c>
      <c r="Q34" t="n">
        <v>0</v>
      </c>
      <c r="R34" s="2" t="inlineStr"/>
    </row>
    <row r="35" ht="15" customHeight="1">
      <c r="A35" t="inlineStr">
        <is>
          <t>A 45501-2022</t>
        </is>
      </c>
      <c r="B35" s="1" t="n">
        <v>44845.42407407407</v>
      </c>
      <c r="C35" s="1" t="n">
        <v>45965</v>
      </c>
      <c r="D35" t="inlineStr">
        <is>
          <t>STOCKHOLMS LÄN</t>
        </is>
      </c>
      <c r="E35" t="inlineStr">
        <is>
          <t>HANINGE</t>
        </is>
      </c>
      <c r="G35" t="n">
        <v>2.7</v>
      </c>
      <c r="H35" t="n">
        <v>0</v>
      </c>
      <c r="I35" t="n">
        <v>0</v>
      </c>
      <c r="J35" t="n">
        <v>0</v>
      </c>
      <c r="K35" t="n">
        <v>0</v>
      </c>
      <c r="L35" t="n">
        <v>0</v>
      </c>
      <c r="M35" t="n">
        <v>0</v>
      </c>
      <c r="N35" t="n">
        <v>0</v>
      </c>
      <c r="O35" t="n">
        <v>0</v>
      </c>
      <c r="P35" t="n">
        <v>0</v>
      </c>
      <c r="Q35" t="n">
        <v>0</v>
      </c>
      <c r="R35" s="2" t="inlineStr"/>
    </row>
    <row r="36" ht="15" customHeight="1">
      <c r="A36" t="inlineStr">
        <is>
          <t>A 45498-2022</t>
        </is>
      </c>
      <c r="B36" s="1" t="n">
        <v>44845.42118055555</v>
      </c>
      <c r="C36" s="1" t="n">
        <v>45965</v>
      </c>
      <c r="D36" t="inlineStr">
        <is>
          <t>STOCKHOLMS LÄN</t>
        </is>
      </c>
      <c r="E36" t="inlineStr">
        <is>
          <t>HANINGE</t>
        </is>
      </c>
      <c r="G36" t="n">
        <v>2.1</v>
      </c>
      <c r="H36" t="n">
        <v>0</v>
      </c>
      <c r="I36" t="n">
        <v>0</v>
      </c>
      <c r="J36" t="n">
        <v>0</v>
      </c>
      <c r="K36" t="n">
        <v>0</v>
      </c>
      <c r="L36" t="n">
        <v>0</v>
      </c>
      <c r="M36" t="n">
        <v>0</v>
      </c>
      <c r="N36" t="n">
        <v>0</v>
      </c>
      <c r="O36" t="n">
        <v>0</v>
      </c>
      <c r="P36" t="n">
        <v>0</v>
      </c>
      <c r="Q36" t="n">
        <v>0</v>
      </c>
      <c r="R36" s="2" t="inlineStr"/>
    </row>
    <row r="37" ht="15" customHeight="1">
      <c r="A37" t="inlineStr">
        <is>
          <t>A 55853-2021</t>
        </is>
      </c>
      <c r="B37" s="1" t="n">
        <v>44476</v>
      </c>
      <c r="C37" s="1" t="n">
        <v>45965</v>
      </c>
      <c r="D37" t="inlineStr">
        <is>
          <t>STOCKHOLMS LÄN</t>
        </is>
      </c>
      <c r="E37" t="inlineStr">
        <is>
          <t>HANINGE</t>
        </is>
      </c>
      <c r="F37" t="inlineStr">
        <is>
          <t>Kommuner</t>
        </is>
      </c>
      <c r="G37" t="n">
        <v>1.3</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45965</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45395-2021</t>
        </is>
      </c>
      <c r="B39" s="1" t="n">
        <v>44440</v>
      </c>
      <c r="C39" s="1" t="n">
        <v>45965</v>
      </c>
      <c r="D39" t="inlineStr">
        <is>
          <t>STOCKHOLMS LÄN</t>
        </is>
      </c>
      <c r="E39" t="inlineStr">
        <is>
          <t>HANINGE</t>
        </is>
      </c>
      <c r="F39" t="inlineStr">
        <is>
          <t>Övriga statliga verk och myndigheter</t>
        </is>
      </c>
      <c r="G39" t="n">
        <v>3.5</v>
      </c>
      <c r="H39" t="n">
        <v>0</v>
      </c>
      <c r="I39" t="n">
        <v>0</v>
      </c>
      <c r="J39" t="n">
        <v>0</v>
      </c>
      <c r="K39" t="n">
        <v>0</v>
      </c>
      <c r="L39" t="n">
        <v>0</v>
      </c>
      <c r="M39" t="n">
        <v>0</v>
      </c>
      <c r="N39" t="n">
        <v>0</v>
      </c>
      <c r="O39" t="n">
        <v>0</v>
      </c>
      <c r="P39" t="n">
        <v>0</v>
      </c>
      <c r="Q39" t="n">
        <v>0</v>
      </c>
      <c r="R39" s="2" t="inlineStr"/>
    </row>
    <row r="40" ht="15" customHeight="1">
      <c r="A40" t="inlineStr">
        <is>
          <t>A 41266-2022</t>
        </is>
      </c>
      <c r="B40" s="1" t="n">
        <v>44825</v>
      </c>
      <c r="C40" s="1" t="n">
        <v>45965</v>
      </c>
      <c r="D40" t="inlineStr">
        <is>
          <t>STOCKHOLMS LÄN</t>
        </is>
      </c>
      <c r="E40" t="inlineStr">
        <is>
          <t>HANINGE</t>
        </is>
      </c>
      <c r="F40" t="inlineStr">
        <is>
          <t>Övriga statliga verk och myndigheter</t>
        </is>
      </c>
      <c r="G40" t="n">
        <v>1.6</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45965</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13135-2022</t>
        </is>
      </c>
      <c r="B42" s="1" t="n">
        <v>44643</v>
      </c>
      <c r="C42" s="1" t="n">
        <v>45965</v>
      </c>
      <c r="D42" t="inlineStr">
        <is>
          <t>STOCKHOLMS LÄN</t>
        </is>
      </c>
      <c r="E42" t="inlineStr">
        <is>
          <t>HANINGE</t>
        </is>
      </c>
      <c r="G42" t="n">
        <v>2</v>
      </c>
      <c r="H42" t="n">
        <v>0</v>
      </c>
      <c r="I42" t="n">
        <v>0</v>
      </c>
      <c r="J42" t="n">
        <v>0</v>
      </c>
      <c r="K42" t="n">
        <v>0</v>
      </c>
      <c r="L42" t="n">
        <v>0</v>
      </c>
      <c r="M42" t="n">
        <v>0</v>
      </c>
      <c r="N42" t="n">
        <v>0</v>
      </c>
      <c r="O42" t="n">
        <v>0</v>
      </c>
      <c r="P42" t="n">
        <v>0</v>
      </c>
      <c r="Q42" t="n">
        <v>0</v>
      </c>
      <c r="R42" s="2" t="inlineStr"/>
    </row>
    <row r="43" ht="15" customHeight="1">
      <c r="A43" t="inlineStr">
        <is>
          <t>A 30419-2022</t>
        </is>
      </c>
      <c r="B43" s="1" t="n">
        <v>44761</v>
      </c>
      <c r="C43" s="1" t="n">
        <v>45965</v>
      </c>
      <c r="D43" t="inlineStr">
        <is>
          <t>STOCKHOLMS LÄN</t>
        </is>
      </c>
      <c r="E43" t="inlineStr">
        <is>
          <t>HANINGE</t>
        </is>
      </c>
      <c r="G43" t="n">
        <v>7.4</v>
      </c>
      <c r="H43" t="n">
        <v>0</v>
      </c>
      <c r="I43" t="n">
        <v>0</v>
      </c>
      <c r="J43" t="n">
        <v>0</v>
      </c>
      <c r="K43" t="n">
        <v>0</v>
      </c>
      <c r="L43" t="n">
        <v>0</v>
      </c>
      <c r="M43" t="n">
        <v>0</v>
      </c>
      <c r="N43" t="n">
        <v>0</v>
      </c>
      <c r="O43" t="n">
        <v>0</v>
      </c>
      <c r="P43" t="n">
        <v>0</v>
      </c>
      <c r="Q43" t="n">
        <v>0</v>
      </c>
      <c r="R43" s="2" t="inlineStr"/>
    </row>
    <row r="44" ht="15" customHeight="1">
      <c r="A44" t="inlineStr">
        <is>
          <t>A 55861-2021</t>
        </is>
      </c>
      <c r="B44" s="1" t="n">
        <v>44476</v>
      </c>
      <c r="C44" s="1" t="n">
        <v>45965</v>
      </c>
      <c r="D44" t="inlineStr">
        <is>
          <t>STOCKHOLMS LÄN</t>
        </is>
      </c>
      <c r="E44" t="inlineStr">
        <is>
          <t>HANINGE</t>
        </is>
      </c>
      <c r="F44" t="inlineStr">
        <is>
          <t>Kommuner</t>
        </is>
      </c>
      <c r="G44" t="n">
        <v>1.3</v>
      </c>
      <c r="H44" t="n">
        <v>0</v>
      </c>
      <c r="I44" t="n">
        <v>0</v>
      </c>
      <c r="J44" t="n">
        <v>0</v>
      </c>
      <c r="K44" t="n">
        <v>0</v>
      </c>
      <c r="L44" t="n">
        <v>0</v>
      </c>
      <c r="M44" t="n">
        <v>0</v>
      </c>
      <c r="N44" t="n">
        <v>0</v>
      </c>
      <c r="O44" t="n">
        <v>0</v>
      </c>
      <c r="P44" t="n">
        <v>0</v>
      </c>
      <c r="Q44" t="n">
        <v>0</v>
      </c>
      <c r="R44" s="2" t="inlineStr"/>
    </row>
    <row r="45" ht="15" customHeight="1">
      <c r="A45" t="inlineStr">
        <is>
          <t>A 64395-2020</t>
        </is>
      </c>
      <c r="B45" s="1" t="n">
        <v>44168</v>
      </c>
      <c r="C45" s="1" t="n">
        <v>45965</v>
      </c>
      <c r="D45" t="inlineStr">
        <is>
          <t>STOCKHOLMS LÄN</t>
        </is>
      </c>
      <c r="E45" t="inlineStr">
        <is>
          <t>HANINGE</t>
        </is>
      </c>
      <c r="G45" t="n">
        <v>3.9</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45965</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45965</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13046-2022</t>
        </is>
      </c>
      <c r="B48" s="1" t="n">
        <v>44643</v>
      </c>
      <c r="C48" s="1" t="n">
        <v>45965</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row>
    <row r="49" ht="15" customHeight="1">
      <c r="A49" t="inlineStr">
        <is>
          <t>A 38595-2021</t>
        </is>
      </c>
      <c r="B49" s="1" t="n">
        <v>44407</v>
      </c>
      <c r="C49" s="1" t="n">
        <v>45965</v>
      </c>
      <c r="D49" t="inlineStr">
        <is>
          <t>STOCKHOLMS LÄN</t>
        </is>
      </c>
      <c r="E49" t="inlineStr">
        <is>
          <t>HANINGE</t>
        </is>
      </c>
      <c r="G49" t="n">
        <v>1.1</v>
      </c>
      <c r="H49" t="n">
        <v>0</v>
      </c>
      <c r="I49" t="n">
        <v>0</v>
      </c>
      <c r="J49" t="n">
        <v>0</v>
      </c>
      <c r="K49" t="n">
        <v>0</v>
      </c>
      <c r="L49" t="n">
        <v>0</v>
      </c>
      <c r="M49" t="n">
        <v>0</v>
      </c>
      <c r="N49" t="n">
        <v>0</v>
      </c>
      <c r="O49" t="n">
        <v>0</v>
      </c>
      <c r="P49" t="n">
        <v>0</v>
      </c>
      <c r="Q49" t="n">
        <v>0</v>
      </c>
      <c r="R49" s="2" t="inlineStr"/>
    </row>
    <row r="50" ht="15" customHeight="1">
      <c r="A50" t="inlineStr">
        <is>
          <t>A 50306-2023</t>
        </is>
      </c>
      <c r="B50" s="1" t="n">
        <v>45209</v>
      </c>
      <c r="C50" s="1" t="n">
        <v>45965</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c r="U50">
        <f>HYPERLINK("https://klasma.github.io/Logging_0136/knärot/A 50306-2023 karta knärot.png", "A 50306-2023")</f>
        <v/>
      </c>
      <c r="V50">
        <f>HYPERLINK("https://klasma.github.io/Logging_0136/klagomål/A 50306-2023 FSC-klagomål.docx", "A 50306-2023")</f>
        <v/>
      </c>
      <c r="W50">
        <f>HYPERLINK("https://klasma.github.io/Logging_0136/klagomålsmail/A 50306-2023 FSC-klagomål mail.docx", "A 50306-2023")</f>
        <v/>
      </c>
      <c r="X50">
        <f>HYPERLINK("https://klasma.github.io/Logging_0136/tillsyn/A 50306-2023 tillsynsbegäran.docx", "A 50306-2023")</f>
        <v/>
      </c>
      <c r="Y50">
        <f>HYPERLINK("https://klasma.github.io/Logging_0136/tillsynsmail/A 50306-2023 tillsynsbegäran mail.docx", "A 50306-2023")</f>
        <v/>
      </c>
    </row>
    <row r="51" ht="15" customHeight="1">
      <c r="A51" t="inlineStr">
        <is>
          <t>A 8078-2024</t>
        </is>
      </c>
      <c r="B51" s="1" t="n">
        <v>45351.43737268518</v>
      </c>
      <c r="C51" s="1" t="n">
        <v>45965</v>
      </c>
      <c r="D51" t="inlineStr">
        <is>
          <t>STOCKHOLMS LÄN</t>
        </is>
      </c>
      <c r="E51" t="inlineStr">
        <is>
          <t>HANINGE</t>
        </is>
      </c>
      <c r="F51" t="inlineStr">
        <is>
          <t>Kommuner</t>
        </is>
      </c>
      <c r="G51" t="n">
        <v>1.4</v>
      </c>
      <c r="H51" t="n">
        <v>0</v>
      </c>
      <c r="I51" t="n">
        <v>0</v>
      </c>
      <c r="J51" t="n">
        <v>0</v>
      </c>
      <c r="K51" t="n">
        <v>0</v>
      </c>
      <c r="L51" t="n">
        <v>0</v>
      </c>
      <c r="M51" t="n">
        <v>0</v>
      </c>
      <c r="N51" t="n">
        <v>0</v>
      </c>
      <c r="O51" t="n">
        <v>0</v>
      </c>
      <c r="P51" t="n">
        <v>0</v>
      </c>
      <c r="Q51" t="n">
        <v>0</v>
      </c>
      <c r="R51" s="2" t="inlineStr"/>
    </row>
    <row r="52" ht="15" customHeight="1">
      <c r="A52" t="inlineStr">
        <is>
          <t>A 22288-2023</t>
        </is>
      </c>
      <c r="B52" s="1" t="n">
        <v>45070</v>
      </c>
      <c r="C52" s="1" t="n">
        <v>45965</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33792-2023</t>
        </is>
      </c>
      <c r="B53" s="1" t="n">
        <v>45121</v>
      </c>
      <c r="C53" s="1" t="n">
        <v>45965</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24873-2023</t>
        </is>
      </c>
      <c r="B54" s="1" t="n">
        <v>45085</v>
      </c>
      <c r="C54" s="1" t="n">
        <v>45965</v>
      </c>
      <c r="D54" t="inlineStr">
        <is>
          <t>STOCKHOLMS LÄN</t>
        </is>
      </c>
      <c r="E54" t="inlineStr">
        <is>
          <t>HANINGE</t>
        </is>
      </c>
      <c r="G54" t="n">
        <v>1.9</v>
      </c>
      <c r="H54" t="n">
        <v>0</v>
      </c>
      <c r="I54" t="n">
        <v>0</v>
      </c>
      <c r="J54" t="n">
        <v>0</v>
      </c>
      <c r="K54" t="n">
        <v>0</v>
      </c>
      <c r="L54" t="n">
        <v>0</v>
      </c>
      <c r="M54" t="n">
        <v>0</v>
      </c>
      <c r="N54" t="n">
        <v>0</v>
      </c>
      <c r="O54" t="n">
        <v>0</v>
      </c>
      <c r="P54" t="n">
        <v>0</v>
      </c>
      <c r="Q54" t="n">
        <v>0</v>
      </c>
      <c r="R54" s="2" t="inlineStr"/>
    </row>
    <row r="55" ht="15" customHeight="1">
      <c r="A55" t="inlineStr">
        <is>
          <t>A 52773-2024</t>
        </is>
      </c>
      <c r="B55" s="1" t="n">
        <v>45610.53207175926</v>
      </c>
      <c r="C55" s="1" t="n">
        <v>45965</v>
      </c>
      <c r="D55" t="inlineStr">
        <is>
          <t>STOCKHOLMS LÄN</t>
        </is>
      </c>
      <c r="E55" t="inlineStr">
        <is>
          <t>HANINGE</t>
        </is>
      </c>
      <c r="G55" t="n">
        <v>0.7</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45965</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23666-2024</t>
        </is>
      </c>
      <c r="B57" s="1" t="n">
        <v>45454.57909722222</v>
      </c>
      <c r="C57" s="1" t="n">
        <v>45965</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9946-2024</t>
        </is>
      </c>
      <c r="B58" s="1" t="n">
        <v>45363.59789351852</v>
      </c>
      <c r="C58" s="1" t="n">
        <v>45965</v>
      </c>
      <c r="D58" t="inlineStr">
        <is>
          <t>STOCKHOLMS LÄN</t>
        </is>
      </c>
      <c r="E58" t="inlineStr">
        <is>
          <t>HANINGE</t>
        </is>
      </c>
      <c r="G58" t="n">
        <v>3.8</v>
      </c>
      <c r="H58" t="n">
        <v>0</v>
      </c>
      <c r="I58" t="n">
        <v>0</v>
      </c>
      <c r="J58" t="n">
        <v>0</v>
      </c>
      <c r="K58" t="n">
        <v>0</v>
      </c>
      <c r="L58" t="n">
        <v>0</v>
      </c>
      <c r="M58" t="n">
        <v>0</v>
      </c>
      <c r="N58" t="n">
        <v>0</v>
      </c>
      <c r="O58" t="n">
        <v>0</v>
      </c>
      <c r="P58" t="n">
        <v>0</v>
      </c>
      <c r="Q58" t="n">
        <v>0</v>
      </c>
      <c r="R58" s="2" t="inlineStr"/>
    </row>
    <row r="59" ht="15" customHeight="1">
      <c r="A59" t="inlineStr">
        <is>
          <t>A 20839-2024</t>
        </is>
      </c>
      <c r="B59" s="1" t="n">
        <v>45439.39953703704</v>
      </c>
      <c r="C59" s="1" t="n">
        <v>45965</v>
      </c>
      <c r="D59" t="inlineStr">
        <is>
          <t>STOCKHOLMS LÄN</t>
        </is>
      </c>
      <c r="E59" t="inlineStr">
        <is>
          <t>HANINGE</t>
        </is>
      </c>
      <c r="G59" t="n">
        <v>8.4</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45965</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52770-2024</t>
        </is>
      </c>
      <c r="B61" s="1" t="n">
        <v>45610.52414351852</v>
      </c>
      <c r="C61" s="1" t="n">
        <v>45965</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18512-2024</t>
        </is>
      </c>
      <c r="B62" s="1" t="n">
        <v>45425.59938657407</v>
      </c>
      <c r="C62" s="1" t="n">
        <v>45965</v>
      </c>
      <c r="D62" t="inlineStr">
        <is>
          <t>STOCKHOLMS LÄN</t>
        </is>
      </c>
      <c r="E62" t="inlineStr">
        <is>
          <t>HANINGE</t>
        </is>
      </c>
      <c r="F62" t="inlineStr">
        <is>
          <t>Kommuner</t>
        </is>
      </c>
      <c r="G62" t="n">
        <v>0.7</v>
      </c>
      <c r="H62" t="n">
        <v>0</v>
      </c>
      <c r="I62" t="n">
        <v>0</v>
      </c>
      <c r="J62" t="n">
        <v>0</v>
      </c>
      <c r="K62" t="n">
        <v>0</v>
      </c>
      <c r="L62" t="n">
        <v>0</v>
      </c>
      <c r="M62" t="n">
        <v>0</v>
      </c>
      <c r="N62" t="n">
        <v>0</v>
      </c>
      <c r="O62" t="n">
        <v>0</v>
      </c>
      <c r="P62" t="n">
        <v>0</v>
      </c>
      <c r="Q62" t="n">
        <v>0</v>
      </c>
      <c r="R62" s="2" t="inlineStr"/>
    </row>
    <row r="63" ht="15" customHeight="1">
      <c r="A63" t="inlineStr">
        <is>
          <t>A 52836-2024</t>
        </is>
      </c>
      <c r="B63" s="1" t="n">
        <v>45610.59637731482</v>
      </c>
      <c r="C63" s="1" t="n">
        <v>45965</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4297-2024</t>
        </is>
      </c>
      <c r="B64" s="1" t="n">
        <v>45324.62291666667</v>
      </c>
      <c r="C64" s="1" t="n">
        <v>45965</v>
      </c>
      <c r="D64" t="inlineStr">
        <is>
          <t>STOCKHOLMS LÄN</t>
        </is>
      </c>
      <c r="E64" t="inlineStr">
        <is>
          <t>HANINGE</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1703-2023</t>
        </is>
      </c>
      <c r="B65" s="1" t="n">
        <v>44938.44412037037</v>
      </c>
      <c r="C65" s="1" t="n">
        <v>45965</v>
      </c>
      <c r="D65" t="inlineStr">
        <is>
          <t>STOCKHOLMS LÄN</t>
        </is>
      </c>
      <c r="E65" t="inlineStr">
        <is>
          <t>HANINGE</t>
        </is>
      </c>
      <c r="G65" t="n">
        <v>1.8</v>
      </c>
      <c r="H65" t="n">
        <v>0</v>
      </c>
      <c r="I65" t="n">
        <v>0</v>
      </c>
      <c r="J65" t="n">
        <v>0</v>
      </c>
      <c r="K65" t="n">
        <v>0</v>
      </c>
      <c r="L65" t="n">
        <v>0</v>
      </c>
      <c r="M65" t="n">
        <v>0</v>
      </c>
      <c r="N65" t="n">
        <v>0</v>
      </c>
      <c r="O65" t="n">
        <v>0</v>
      </c>
      <c r="P65" t="n">
        <v>0</v>
      </c>
      <c r="Q65" t="n">
        <v>0</v>
      </c>
      <c r="R65" s="2" t="inlineStr"/>
    </row>
    <row r="66" ht="15" customHeight="1">
      <c r="A66" t="inlineStr">
        <is>
          <t>A 5474-2024</t>
        </is>
      </c>
      <c r="B66" s="1" t="n">
        <v>45333.51131944444</v>
      </c>
      <c r="C66" s="1" t="n">
        <v>45965</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14900-2025</t>
        </is>
      </c>
      <c r="B67" s="1" t="n">
        <v>45743.48729166666</v>
      </c>
      <c r="C67" s="1" t="n">
        <v>45965</v>
      </c>
      <c r="D67" t="inlineStr">
        <is>
          <t>STOCKHOLMS LÄN</t>
        </is>
      </c>
      <c r="E67" t="inlineStr">
        <is>
          <t>HANINGE</t>
        </is>
      </c>
      <c r="G67" t="n">
        <v>4.5</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45965</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38880-2025</t>
        </is>
      </c>
      <c r="B69" s="1" t="n">
        <v>45887.57966435186</v>
      </c>
      <c r="C69" s="1" t="n">
        <v>45965</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8163-2024</t>
        </is>
      </c>
      <c r="B70" s="1" t="n">
        <v>45351.60337962963</v>
      </c>
      <c r="C70" s="1" t="n">
        <v>45965</v>
      </c>
      <c r="D70" t="inlineStr">
        <is>
          <t>STOCKHOLMS LÄN</t>
        </is>
      </c>
      <c r="E70" t="inlineStr">
        <is>
          <t>HANINGE</t>
        </is>
      </c>
      <c r="F70" t="inlineStr">
        <is>
          <t>Kommuner</t>
        </is>
      </c>
      <c r="G70" t="n">
        <v>3.8</v>
      </c>
      <c r="H70" t="n">
        <v>0</v>
      </c>
      <c r="I70" t="n">
        <v>0</v>
      </c>
      <c r="J70" t="n">
        <v>0</v>
      </c>
      <c r="K70" t="n">
        <v>0</v>
      </c>
      <c r="L70" t="n">
        <v>0</v>
      </c>
      <c r="M70" t="n">
        <v>0</v>
      </c>
      <c r="N70" t="n">
        <v>0</v>
      </c>
      <c r="O70" t="n">
        <v>0</v>
      </c>
      <c r="P70" t="n">
        <v>0</v>
      </c>
      <c r="Q70" t="n">
        <v>0</v>
      </c>
      <c r="R70" s="2" t="inlineStr"/>
    </row>
    <row r="71" ht="15" customHeight="1">
      <c r="A71" t="inlineStr">
        <is>
          <t>A 17765-2024</t>
        </is>
      </c>
      <c r="B71" s="1" t="n">
        <v>45418.63149305555</v>
      </c>
      <c r="C71" s="1" t="n">
        <v>45965</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45965</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25584-2023</t>
        </is>
      </c>
      <c r="B73" s="1" t="n">
        <v>45089</v>
      </c>
      <c r="C73" s="1" t="n">
        <v>45965</v>
      </c>
      <c r="D73" t="inlineStr">
        <is>
          <t>STOCKHOLMS LÄN</t>
        </is>
      </c>
      <c r="E73" t="inlineStr">
        <is>
          <t>HANINGE</t>
        </is>
      </c>
      <c r="G73" t="n">
        <v>4.8</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45965</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18528-2024</t>
        </is>
      </c>
      <c r="B75" s="1" t="n">
        <v>45425.61965277778</v>
      </c>
      <c r="C75" s="1" t="n">
        <v>45965</v>
      </c>
      <c r="D75" t="inlineStr">
        <is>
          <t>STOCKHOLMS LÄN</t>
        </is>
      </c>
      <c r="E75" t="inlineStr">
        <is>
          <t>HANINGE</t>
        </is>
      </c>
      <c r="F75" t="inlineStr">
        <is>
          <t>Kommuner</t>
        </is>
      </c>
      <c r="G75" t="n">
        <v>0.5</v>
      </c>
      <c r="H75" t="n">
        <v>0</v>
      </c>
      <c r="I75" t="n">
        <v>0</v>
      </c>
      <c r="J75" t="n">
        <v>0</v>
      </c>
      <c r="K75" t="n">
        <v>0</v>
      </c>
      <c r="L75" t="n">
        <v>0</v>
      </c>
      <c r="M75" t="n">
        <v>0</v>
      </c>
      <c r="N75" t="n">
        <v>0</v>
      </c>
      <c r="O75" t="n">
        <v>0</v>
      </c>
      <c r="P75" t="n">
        <v>0</v>
      </c>
      <c r="Q75" t="n">
        <v>0</v>
      </c>
      <c r="R75" s="2" t="inlineStr"/>
    </row>
    <row r="76" ht="15" customHeight="1">
      <c r="A76" t="inlineStr">
        <is>
          <t>A 24115-2025</t>
        </is>
      </c>
      <c r="B76" s="1" t="n">
        <v>45796.61494212963</v>
      </c>
      <c r="C76" s="1" t="n">
        <v>45965</v>
      </c>
      <c r="D76" t="inlineStr">
        <is>
          <t>STOCKHOLMS LÄN</t>
        </is>
      </c>
      <c r="E76" t="inlineStr">
        <is>
          <t>HANINGE</t>
        </is>
      </c>
      <c r="G76" t="n">
        <v>2</v>
      </c>
      <c r="H76" t="n">
        <v>0</v>
      </c>
      <c r="I76" t="n">
        <v>0</v>
      </c>
      <c r="J76" t="n">
        <v>0</v>
      </c>
      <c r="K76" t="n">
        <v>0</v>
      </c>
      <c r="L76" t="n">
        <v>0</v>
      </c>
      <c r="M76" t="n">
        <v>0</v>
      </c>
      <c r="N76" t="n">
        <v>0</v>
      </c>
      <c r="O76" t="n">
        <v>0</v>
      </c>
      <c r="P76" t="n">
        <v>0</v>
      </c>
      <c r="Q76" t="n">
        <v>0</v>
      </c>
      <c r="R76" s="2" t="inlineStr"/>
    </row>
    <row r="77" ht="15" customHeight="1">
      <c r="A77" t="inlineStr">
        <is>
          <t>A 24191-2025</t>
        </is>
      </c>
      <c r="B77" s="1" t="n">
        <v>45796.86738425926</v>
      </c>
      <c r="C77" s="1" t="n">
        <v>45965</v>
      </c>
      <c r="D77" t="inlineStr">
        <is>
          <t>STOCKHOLMS LÄN</t>
        </is>
      </c>
      <c r="E77" t="inlineStr">
        <is>
          <t>HANINGE</t>
        </is>
      </c>
      <c r="G77" t="n">
        <v>2.8</v>
      </c>
      <c r="H77" t="n">
        <v>0</v>
      </c>
      <c r="I77" t="n">
        <v>0</v>
      </c>
      <c r="J77" t="n">
        <v>0</v>
      </c>
      <c r="K77" t="n">
        <v>0</v>
      </c>
      <c r="L77" t="n">
        <v>0</v>
      </c>
      <c r="M77" t="n">
        <v>0</v>
      </c>
      <c r="N77" t="n">
        <v>0</v>
      </c>
      <c r="O77" t="n">
        <v>0</v>
      </c>
      <c r="P77" t="n">
        <v>0</v>
      </c>
      <c r="Q77" t="n">
        <v>0</v>
      </c>
      <c r="R77" s="2" t="inlineStr"/>
    </row>
    <row r="78" ht="15" customHeight="1">
      <c r="A78" t="inlineStr">
        <is>
          <t>A 24193-2025</t>
        </is>
      </c>
      <c r="B78" s="1" t="n">
        <v>45796.89591435185</v>
      </c>
      <c r="C78" s="1" t="n">
        <v>45965</v>
      </c>
      <c r="D78" t="inlineStr">
        <is>
          <t>STOCKHOLMS LÄN</t>
        </is>
      </c>
      <c r="E78" t="inlineStr">
        <is>
          <t>HANINGE</t>
        </is>
      </c>
      <c r="G78" t="n">
        <v>0.4</v>
      </c>
      <c r="H78" t="n">
        <v>0</v>
      </c>
      <c r="I78" t="n">
        <v>0</v>
      </c>
      <c r="J78" t="n">
        <v>0</v>
      </c>
      <c r="K78" t="n">
        <v>0</v>
      </c>
      <c r="L78" t="n">
        <v>0</v>
      </c>
      <c r="M78" t="n">
        <v>0</v>
      </c>
      <c r="N78" t="n">
        <v>0</v>
      </c>
      <c r="O78" t="n">
        <v>0</v>
      </c>
      <c r="P78" t="n">
        <v>0</v>
      </c>
      <c r="Q78" t="n">
        <v>0</v>
      </c>
      <c r="R78" s="2" t="inlineStr"/>
    </row>
    <row r="79" ht="15" customHeight="1">
      <c r="A79" t="inlineStr">
        <is>
          <t>A 64075-2023</t>
        </is>
      </c>
      <c r="B79" s="1" t="n">
        <v>45279</v>
      </c>
      <c r="C79" s="1" t="n">
        <v>45965</v>
      </c>
      <c r="D79" t="inlineStr">
        <is>
          <t>STOCKHOLMS LÄN</t>
        </is>
      </c>
      <c r="E79" t="inlineStr">
        <is>
          <t>HANINGE</t>
        </is>
      </c>
      <c r="G79" t="n">
        <v>2.6</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45965</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64548-2020</t>
        </is>
      </c>
      <c r="B81" s="1" t="n">
        <v>44166</v>
      </c>
      <c r="C81" s="1" t="n">
        <v>45965</v>
      </c>
      <c r="D81" t="inlineStr">
        <is>
          <t>STOCKHOLMS LÄN</t>
        </is>
      </c>
      <c r="E81" t="inlineStr">
        <is>
          <t>HANINGE</t>
        </is>
      </c>
      <c r="G81" t="n">
        <v>7.2</v>
      </c>
      <c r="H81" t="n">
        <v>0</v>
      </c>
      <c r="I81" t="n">
        <v>0</v>
      </c>
      <c r="J81" t="n">
        <v>0</v>
      </c>
      <c r="K81" t="n">
        <v>0</v>
      </c>
      <c r="L81" t="n">
        <v>0</v>
      </c>
      <c r="M81" t="n">
        <v>0</v>
      </c>
      <c r="N81" t="n">
        <v>0</v>
      </c>
      <c r="O81" t="n">
        <v>0</v>
      </c>
      <c r="P81" t="n">
        <v>0</v>
      </c>
      <c r="Q81" t="n">
        <v>0</v>
      </c>
      <c r="R81" s="2" t="inlineStr"/>
    </row>
    <row r="82" ht="15" customHeight="1">
      <c r="A82" t="inlineStr">
        <is>
          <t>A 27596-2025</t>
        </is>
      </c>
      <c r="B82" s="1" t="n">
        <v>45813.52303240741</v>
      </c>
      <c r="C82" s="1" t="n">
        <v>45965</v>
      </c>
      <c r="D82" t="inlineStr">
        <is>
          <t>STOCKHOLMS LÄN</t>
        </is>
      </c>
      <c r="E82" t="inlineStr">
        <is>
          <t>HANINGE</t>
        </is>
      </c>
      <c r="G82" t="n">
        <v>0.1</v>
      </c>
      <c r="H82" t="n">
        <v>0</v>
      </c>
      <c r="I82" t="n">
        <v>0</v>
      </c>
      <c r="J82" t="n">
        <v>0</v>
      </c>
      <c r="K82" t="n">
        <v>0</v>
      </c>
      <c r="L82" t="n">
        <v>0</v>
      </c>
      <c r="M82" t="n">
        <v>0</v>
      </c>
      <c r="N82" t="n">
        <v>0</v>
      </c>
      <c r="O82" t="n">
        <v>0</v>
      </c>
      <c r="P82" t="n">
        <v>0</v>
      </c>
      <c r="Q82" t="n">
        <v>0</v>
      </c>
      <c r="R82" s="2" t="inlineStr"/>
    </row>
    <row r="83" ht="15" customHeight="1">
      <c r="A83" t="inlineStr">
        <is>
          <t>A 1187-2024</t>
        </is>
      </c>
      <c r="B83" s="1" t="n">
        <v>45302.58045138889</v>
      </c>
      <c r="C83" s="1" t="n">
        <v>45965</v>
      </c>
      <c r="D83" t="inlineStr">
        <is>
          <t>STOCKHOLMS LÄN</t>
        </is>
      </c>
      <c r="E83" t="inlineStr">
        <is>
          <t>HANINGE</t>
        </is>
      </c>
      <c r="G83" t="n">
        <v>1.5</v>
      </c>
      <c r="H83" t="n">
        <v>0</v>
      </c>
      <c r="I83" t="n">
        <v>0</v>
      </c>
      <c r="J83" t="n">
        <v>0</v>
      </c>
      <c r="K83" t="n">
        <v>0</v>
      </c>
      <c r="L83" t="n">
        <v>0</v>
      </c>
      <c r="M83" t="n">
        <v>0</v>
      </c>
      <c r="N83" t="n">
        <v>0</v>
      </c>
      <c r="O83" t="n">
        <v>0</v>
      </c>
      <c r="P83" t="n">
        <v>0</v>
      </c>
      <c r="Q83" t="n">
        <v>0</v>
      </c>
      <c r="R83" s="2" t="inlineStr"/>
    </row>
    <row r="84" ht="15" customHeight="1">
      <c r="A84" t="inlineStr">
        <is>
          <t>A 48606-2025</t>
        </is>
      </c>
      <c r="B84" s="1" t="n">
        <v>45936.47019675926</v>
      </c>
      <c r="C84" s="1" t="n">
        <v>45965</v>
      </c>
      <c r="D84" t="inlineStr">
        <is>
          <t>STOCKHOLMS LÄN</t>
        </is>
      </c>
      <c r="E84" t="inlineStr">
        <is>
          <t>HANINGE</t>
        </is>
      </c>
      <c r="G84" t="n">
        <v>6.9</v>
      </c>
      <c r="H84" t="n">
        <v>0</v>
      </c>
      <c r="I84" t="n">
        <v>0</v>
      </c>
      <c r="J84" t="n">
        <v>0</v>
      </c>
      <c r="K84" t="n">
        <v>0</v>
      </c>
      <c r="L84" t="n">
        <v>0</v>
      </c>
      <c r="M84" t="n">
        <v>0</v>
      </c>
      <c r="N84" t="n">
        <v>0</v>
      </c>
      <c r="O84" t="n">
        <v>0</v>
      </c>
      <c r="P84" t="n">
        <v>0</v>
      </c>
      <c r="Q84" t="n">
        <v>0</v>
      </c>
      <c r="R84" s="2" t="inlineStr"/>
    </row>
    <row r="85" ht="15" customHeight="1">
      <c r="A85" t="inlineStr">
        <is>
          <t>A 1180-2024</t>
        </is>
      </c>
      <c r="B85" s="1" t="n">
        <v>45302</v>
      </c>
      <c r="C85" s="1" t="n">
        <v>45965</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1184-2024</t>
        </is>
      </c>
      <c r="B86" s="1" t="n">
        <v>45302.57663194444</v>
      </c>
      <c r="C86" s="1" t="n">
        <v>45965</v>
      </c>
      <c r="D86" t="inlineStr">
        <is>
          <t>STOCKHOLMS LÄN</t>
        </is>
      </c>
      <c r="E86" t="inlineStr">
        <is>
          <t>HANINGE</t>
        </is>
      </c>
      <c r="G86" t="n">
        <v>3.6</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45965</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18490-2025</t>
        </is>
      </c>
      <c r="B88" s="1" t="n">
        <v>45763</v>
      </c>
      <c r="C88" s="1" t="n">
        <v>45965</v>
      </c>
      <c r="D88" t="inlineStr">
        <is>
          <t>STOCKHOLMS LÄN</t>
        </is>
      </c>
      <c r="E88" t="inlineStr">
        <is>
          <t>HANINGE</t>
        </is>
      </c>
      <c r="G88" t="n">
        <v>3</v>
      </c>
      <c r="H88" t="n">
        <v>0</v>
      </c>
      <c r="I88" t="n">
        <v>0</v>
      </c>
      <c r="J88" t="n">
        <v>0</v>
      </c>
      <c r="K88" t="n">
        <v>0</v>
      </c>
      <c r="L88" t="n">
        <v>0</v>
      </c>
      <c r="M88" t="n">
        <v>0</v>
      </c>
      <c r="N88" t="n">
        <v>0</v>
      </c>
      <c r="O88" t="n">
        <v>0</v>
      </c>
      <c r="P88" t="n">
        <v>0</v>
      </c>
      <c r="Q88" t="n">
        <v>0</v>
      </c>
      <c r="R88" s="2" t="inlineStr"/>
    </row>
    <row r="89" ht="15" customHeight="1">
      <c r="A89" t="inlineStr">
        <is>
          <t>A 32952-2025</t>
        </is>
      </c>
      <c r="B89" s="1" t="n">
        <v>45839.69278935185</v>
      </c>
      <c r="C89" s="1" t="n">
        <v>45965</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32954-2025</t>
        </is>
      </c>
      <c r="B90" s="1" t="n">
        <v>45839.70034722222</v>
      </c>
      <c r="C90" s="1" t="n">
        <v>45965</v>
      </c>
      <c r="D90" t="inlineStr">
        <is>
          <t>STOCKHOLMS LÄN</t>
        </is>
      </c>
      <c r="E90" t="inlineStr">
        <is>
          <t>HANINGE</t>
        </is>
      </c>
      <c r="G90" t="n">
        <v>1.6</v>
      </c>
      <c r="H90" t="n">
        <v>0</v>
      </c>
      <c r="I90" t="n">
        <v>0</v>
      </c>
      <c r="J90" t="n">
        <v>0</v>
      </c>
      <c r="K90" t="n">
        <v>0</v>
      </c>
      <c r="L90" t="n">
        <v>0</v>
      </c>
      <c r="M90" t="n">
        <v>0</v>
      </c>
      <c r="N90" t="n">
        <v>0</v>
      </c>
      <c r="O90" t="n">
        <v>0</v>
      </c>
      <c r="P90" t="n">
        <v>0</v>
      </c>
      <c r="Q90" t="n">
        <v>0</v>
      </c>
      <c r="R90" s="2" t="inlineStr"/>
    </row>
    <row r="91" ht="15" customHeight="1">
      <c r="A91" t="inlineStr">
        <is>
          <t>A 64568-2023</t>
        </is>
      </c>
      <c r="B91" s="1" t="n">
        <v>45281.43164351852</v>
      </c>
      <c r="C91" s="1" t="n">
        <v>45965</v>
      </c>
      <c r="D91" t="inlineStr">
        <is>
          <t>STOCKHOLMS LÄN</t>
        </is>
      </c>
      <c r="E91" t="inlineStr">
        <is>
          <t>HANINGE</t>
        </is>
      </c>
      <c r="G91" t="n">
        <v>3.1</v>
      </c>
      <c r="H91" t="n">
        <v>0</v>
      </c>
      <c r="I91" t="n">
        <v>0</v>
      </c>
      <c r="J91" t="n">
        <v>0</v>
      </c>
      <c r="K91" t="n">
        <v>0</v>
      </c>
      <c r="L91" t="n">
        <v>0</v>
      </c>
      <c r="M91" t="n">
        <v>0</v>
      </c>
      <c r="N91" t="n">
        <v>0</v>
      </c>
      <c r="O91" t="n">
        <v>0</v>
      </c>
      <c r="P91" t="n">
        <v>0</v>
      </c>
      <c r="Q91" t="n">
        <v>0</v>
      </c>
      <c r="R91" s="2" t="inlineStr"/>
    </row>
    <row r="92" ht="15" customHeight="1">
      <c r="A92" t="inlineStr">
        <is>
          <t>A 32948-2025</t>
        </is>
      </c>
      <c r="B92" s="1" t="n">
        <v>45839</v>
      </c>
      <c r="C92" s="1" t="n">
        <v>45965</v>
      </c>
      <c r="D92" t="inlineStr">
        <is>
          <t>STOCKHOLMS LÄN</t>
        </is>
      </c>
      <c r="E92" t="inlineStr">
        <is>
          <t>HANINGE</t>
        </is>
      </c>
      <c r="G92" t="n">
        <v>1.1</v>
      </c>
      <c r="H92" t="n">
        <v>0</v>
      </c>
      <c r="I92" t="n">
        <v>0</v>
      </c>
      <c r="J92" t="n">
        <v>0</v>
      </c>
      <c r="K92" t="n">
        <v>0</v>
      </c>
      <c r="L92" t="n">
        <v>0</v>
      </c>
      <c r="M92" t="n">
        <v>0</v>
      </c>
      <c r="N92" t="n">
        <v>0</v>
      </c>
      <c r="O92" t="n">
        <v>0</v>
      </c>
      <c r="P92" t="n">
        <v>0</v>
      </c>
      <c r="Q92" t="n">
        <v>0</v>
      </c>
      <c r="R92" s="2" t="inlineStr"/>
    </row>
    <row r="93" ht="15" customHeight="1">
      <c r="A93" t="inlineStr">
        <is>
          <t>A 18548-2024</t>
        </is>
      </c>
      <c r="B93" s="1" t="n">
        <v>45425.64708333334</v>
      </c>
      <c r="C93" s="1" t="n">
        <v>45965</v>
      </c>
      <c r="D93" t="inlineStr">
        <is>
          <t>STOCKHOLMS LÄN</t>
        </is>
      </c>
      <c r="E93" t="inlineStr">
        <is>
          <t>HANINGE</t>
        </is>
      </c>
      <c r="F93" t="inlineStr">
        <is>
          <t>Kommuner</t>
        </is>
      </c>
      <c r="G93" t="n">
        <v>7.3</v>
      </c>
      <c r="H93" t="n">
        <v>0</v>
      </c>
      <c r="I93" t="n">
        <v>0</v>
      </c>
      <c r="J93" t="n">
        <v>0</v>
      </c>
      <c r="K93" t="n">
        <v>0</v>
      </c>
      <c r="L93" t="n">
        <v>0</v>
      </c>
      <c r="M93" t="n">
        <v>0</v>
      </c>
      <c r="N93" t="n">
        <v>0</v>
      </c>
      <c r="O93" t="n">
        <v>0</v>
      </c>
      <c r="P93" t="n">
        <v>0</v>
      </c>
      <c r="Q93" t="n">
        <v>0</v>
      </c>
      <c r="R93" s="2" t="inlineStr"/>
    </row>
    <row r="94" ht="15" customHeight="1">
      <c r="A94" t="inlineStr">
        <is>
          <t>A 41809-2021</t>
        </is>
      </c>
      <c r="B94" s="1" t="n">
        <v>44425</v>
      </c>
      <c r="C94" s="1" t="n">
        <v>45965</v>
      </c>
      <c r="D94" t="inlineStr">
        <is>
          <t>STOCKHOLMS LÄN</t>
        </is>
      </c>
      <c r="E94" t="inlineStr">
        <is>
          <t>HANINGE</t>
        </is>
      </c>
      <c r="G94" t="n">
        <v>0.9</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45965</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45965</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c r="A97" t="inlineStr">
        <is>
          <t>A 17020-2022</t>
        </is>
      </c>
      <c r="B97" s="1" t="n">
        <v>44676</v>
      </c>
      <c r="C97" s="1" t="n">
        <v>45965</v>
      </c>
      <c r="D97" t="inlineStr">
        <is>
          <t>STOCKHOLMS LÄN</t>
        </is>
      </c>
      <c r="E97" t="inlineStr">
        <is>
          <t>HANINGE</t>
        </is>
      </c>
      <c r="F97" t="inlineStr">
        <is>
          <t>Övriga statliga verk och myndigheter</t>
        </is>
      </c>
      <c r="G97" t="n">
        <v>12.4</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2025-11-04T10:08:49Z</dcterms:created>
  <dcterms:modified xmlns:dcterms="http://purl.org/dc/terms/" xmlns:xsi="http://www.w3.org/2001/XMLSchema-instance" xsi:type="dcterms:W3CDTF">2025-11-04T10:08:49Z</dcterms:modified>
</cp:coreProperties>
</file>