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45985</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45985</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45985</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45985</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14729-2023</t>
        </is>
      </c>
      <c r="B14" s="1" t="n">
        <v>45014</v>
      </c>
      <c r="C14" s="1" t="n">
        <v>45985</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20507-2025</t>
        </is>
      </c>
      <c r="B15" s="1" t="n">
        <v>45775.59121527777</v>
      </c>
      <c r="C15" s="1" t="n">
        <v>45985</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45985</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45985</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45985</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45985</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45985</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45985</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45985</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45985</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45985</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45985</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45985</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45985</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45985</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45985</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45985</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45985</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45985</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45985</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45985</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45985</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45985</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45985</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45985</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45985</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45985</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45985</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45985</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45985</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45985</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45985</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45985</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18491-2025</t>
        </is>
      </c>
      <c r="B47" s="1" t="n">
        <v>45763.34135416667</v>
      </c>
      <c r="C47" s="1" t="n">
        <v>45985</v>
      </c>
      <c r="D47" t="inlineStr">
        <is>
          <t>STOCKHOLMS LÄN</t>
        </is>
      </c>
      <c r="E47" t="inlineStr">
        <is>
          <t>HANINGE</t>
        </is>
      </c>
      <c r="G47" t="n">
        <v>0.5</v>
      </c>
      <c r="H47" t="n">
        <v>0</v>
      </c>
      <c r="I47" t="n">
        <v>0</v>
      </c>
      <c r="J47" t="n">
        <v>0</v>
      </c>
      <c r="K47" t="n">
        <v>0</v>
      </c>
      <c r="L47" t="n">
        <v>0</v>
      </c>
      <c r="M47" t="n">
        <v>0</v>
      </c>
      <c r="N47" t="n">
        <v>0</v>
      </c>
      <c r="O47" t="n">
        <v>0</v>
      </c>
      <c r="P47" t="n">
        <v>0</v>
      </c>
      <c r="Q47" t="n">
        <v>0</v>
      </c>
      <c r="R47" s="2" t="inlineStr"/>
    </row>
    <row r="48" ht="15" customHeight="1">
      <c r="A48" t="inlineStr">
        <is>
          <t>A 38880-2025</t>
        </is>
      </c>
      <c r="B48" s="1" t="n">
        <v>45887.57966435186</v>
      </c>
      <c r="C48" s="1" t="n">
        <v>45985</v>
      </c>
      <c r="D48" t="inlineStr">
        <is>
          <t>STOCKHOLMS LÄN</t>
        </is>
      </c>
      <c r="E48" t="inlineStr">
        <is>
          <t>HANINGE</t>
        </is>
      </c>
      <c r="G48" t="n">
        <v>3.2</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45985</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24115-2025</t>
        </is>
      </c>
      <c r="B50" s="1" t="n">
        <v>45796.61494212963</v>
      </c>
      <c r="C50" s="1" t="n">
        <v>45985</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45985</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45985</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45985</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68896-2021</t>
        </is>
      </c>
      <c r="B54" s="1" t="n">
        <v>44526</v>
      </c>
      <c r="C54" s="1" t="n">
        <v>45985</v>
      </c>
      <c r="D54" t="inlineStr">
        <is>
          <t>STOCKHOLMS LÄN</t>
        </is>
      </c>
      <c r="E54" t="inlineStr">
        <is>
          <t>HANINGE</t>
        </is>
      </c>
      <c r="G54" t="n">
        <v>3.4</v>
      </c>
      <c r="H54" t="n">
        <v>0</v>
      </c>
      <c r="I54" t="n">
        <v>0</v>
      </c>
      <c r="J54" t="n">
        <v>0</v>
      </c>
      <c r="K54" t="n">
        <v>0</v>
      </c>
      <c r="L54" t="n">
        <v>0</v>
      </c>
      <c r="M54" t="n">
        <v>0</v>
      </c>
      <c r="N54" t="n">
        <v>0</v>
      </c>
      <c r="O54" t="n">
        <v>0</v>
      </c>
      <c r="P54" t="n">
        <v>0</v>
      </c>
      <c r="Q54" t="n">
        <v>0</v>
      </c>
      <c r="R54" s="2" t="inlineStr"/>
    </row>
    <row r="55" ht="15" customHeight="1">
      <c r="A55" t="inlineStr">
        <is>
          <t>A 27596-2025</t>
        </is>
      </c>
      <c r="B55" s="1" t="n">
        <v>45813.52303240741</v>
      </c>
      <c r="C55" s="1" t="n">
        <v>45985</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45985</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45985</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45985</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58599-2023</t>
        </is>
      </c>
      <c r="B59" s="1" t="n">
        <v>45251.47721064815</v>
      </c>
      <c r="C59" s="1" t="n">
        <v>45985</v>
      </c>
      <c r="D59" t="inlineStr">
        <is>
          <t>STOCKHOLMS LÄN</t>
        </is>
      </c>
      <c r="E59" t="inlineStr">
        <is>
          <t>HANINGE</t>
        </is>
      </c>
      <c r="G59" t="n">
        <v>3.2</v>
      </c>
      <c r="H59" t="n">
        <v>0</v>
      </c>
      <c r="I59" t="n">
        <v>0</v>
      </c>
      <c r="J59" t="n">
        <v>0</v>
      </c>
      <c r="K59" t="n">
        <v>0</v>
      </c>
      <c r="L59" t="n">
        <v>0</v>
      </c>
      <c r="M59" t="n">
        <v>0</v>
      </c>
      <c r="N59" t="n">
        <v>0</v>
      </c>
      <c r="O59" t="n">
        <v>0</v>
      </c>
      <c r="P59" t="n">
        <v>0</v>
      </c>
      <c r="Q59" t="n">
        <v>0</v>
      </c>
      <c r="R59" s="2" t="inlineStr"/>
    </row>
    <row r="60" ht="15" customHeight="1">
      <c r="A60" t="inlineStr">
        <is>
          <t>A 18528-2024</t>
        </is>
      </c>
      <c r="B60" s="1" t="n">
        <v>45425.61965277778</v>
      </c>
      <c r="C60" s="1" t="n">
        <v>45985</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45985</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45985</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45985</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45985</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45985</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50306-2023</t>
        </is>
      </c>
      <c r="B66" s="1" t="n">
        <v>45209</v>
      </c>
      <c r="C66" s="1" t="n">
        <v>45985</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c r="U66">
        <f>HYPERLINK("https://klasma.github.io/Logging_0136/knärot/A 50306-2023 karta knärot.png", "A 50306-2023")</f>
        <v/>
      </c>
      <c r="V66">
        <f>HYPERLINK("https://klasma.github.io/Logging_0136/klagomål/A 50306-2023 FSC-klagomål.docx", "A 50306-2023")</f>
        <v/>
      </c>
      <c r="W66">
        <f>HYPERLINK("https://klasma.github.io/Logging_0136/klagomålsmail/A 50306-2023 FSC-klagomål mail.docx", "A 50306-2023")</f>
        <v/>
      </c>
      <c r="X66">
        <f>HYPERLINK("https://klasma.github.io/Logging_0136/tillsyn/A 50306-2023 tillsynsbegäran.docx", "A 50306-2023")</f>
        <v/>
      </c>
      <c r="Y66">
        <f>HYPERLINK("https://klasma.github.io/Logging_0136/tillsynsmail/A 50306-2023 tillsynsbegäran mail.docx", "A 50306-2023")</f>
        <v/>
      </c>
    </row>
    <row r="67" ht="15" customHeight="1">
      <c r="A67" t="inlineStr">
        <is>
          <t>A 22288-2023</t>
        </is>
      </c>
      <c r="B67" s="1" t="n">
        <v>45070</v>
      </c>
      <c r="C67" s="1" t="n">
        <v>45985</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33792-2023</t>
        </is>
      </c>
      <c r="B68" s="1" t="n">
        <v>45121</v>
      </c>
      <c r="C68" s="1" t="n">
        <v>45985</v>
      </c>
      <c r="D68" t="inlineStr">
        <is>
          <t>STOCKHOLMS LÄN</t>
        </is>
      </c>
      <c r="E68" t="inlineStr">
        <is>
          <t>HANINGE</t>
        </is>
      </c>
      <c r="G68" t="n">
        <v>1.4</v>
      </c>
      <c r="H68" t="n">
        <v>0</v>
      </c>
      <c r="I68" t="n">
        <v>0</v>
      </c>
      <c r="J68" t="n">
        <v>0</v>
      </c>
      <c r="K68" t="n">
        <v>0</v>
      </c>
      <c r="L68" t="n">
        <v>0</v>
      </c>
      <c r="M68" t="n">
        <v>0</v>
      </c>
      <c r="N68" t="n">
        <v>0</v>
      </c>
      <c r="O68" t="n">
        <v>0</v>
      </c>
      <c r="P68" t="n">
        <v>0</v>
      </c>
      <c r="Q68" t="n">
        <v>0</v>
      </c>
      <c r="R68" s="2" t="inlineStr"/>
    </row>
    <row r="69" ht="15" customHeight="1">
      <c r="A69" t="inlineStr">
        <is>
          <t>A 20839-2024</t>
        </is>
      </c>
      <c r="B69" s="1" t="n">
        <v>45439.39953703704</v>
      </c>
      <c r="C69" s="1" t="n">
        <v>45985</v>
      </c>
      <c r="D69" t="inlineStr">
        <is>
          <t>STOCKHOLMS LÄN</t>
        </is>
      </c>
      <c r="E69" t="inlineStr">
        <is>
          <t>HANINGE</t>
        </is>
      </c>
      <c r="G69" t="n">
        <v>8.4</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45985</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45985</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45985</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45985</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45985</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45985</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64548-2020</t>
        </is>
      </c>
      <c r="B76" s="1" t="n">
        <v>44166</v>
      </c>
      <c r="C76" s="1" t="n">
        <v>45985</v>
      </c>
      <c r="D76" t="inlineStr">
        <is>
          <t>STOCKHOLMS LÄN</t>
        </is>
      </c>
      <c r="E76" t="inlineStr">
        <is>
          <t>HANINGE</t>
        </is>
      </c>
      <c r="G76" t="n">
        <v>7.2</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45985</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1180-2024</t>
        </is>
      </c>
      <c r="B78" s="1" t="n">
        <v>45302</v>
      </c>
      <c r="C78" s="1" t="n">
        <v>45985</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45985</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45985</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45985</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45985</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18548-2024</t>
        </is>
      </c>
      <c r="B83" s="1" t="n">
        <v>45425.64708333334</v>
      </c>
      <c r="C83" s="1" t="n">
        <v>45985</v>
      </c>
      <c r="D83" t="inlineStr">
        <is>
          <t>STOCKHOLMS LÄN</t>
        </is>
      </c>
      <c r="E83" t="inlineStr">
        <is>
          <t>HANINGE</t>
        </is>
      </c>
      <c r="F83" t="inlineStr">
        <is>
          <t>Kommuner</t>
        </is>
      </c>
      <c r="G83" t="n">
        <v>7.3</v>
      </c>
      <c r="H83" t="n">
        <v>0</v>
      </c>
      <c r="I83" t="n">
        <v>0</v>
      </c>
      <c r="J83" t="n">
        <v>0</v>
      </c>
      <c r="K83" t="n">
        <v>0</v>
      </c>
      <c r="L83" t="n">
        <v>0</v>
      </c>
      <c r="M83" t="n">
        <v>0</v>
      </c>
      <c r="N83" t="n">
        <v>0</v>
      </c>
      <c r="O83" t="n">
        <v>0</v>
      </c>
      <c r="P83" t="n">
        <v>0</v>
      </c>
      <c r="Q83" t="n">
        <v>0</v>
      </c>
      <c r="R83" s="2" t="inlineStr"/>
    </row>
    <row r="84" ht="15" customHeight="1">
      <c r="A84" t="inlineStr">
        <is>
          <t>A 41809-2021</t>
        </is>
      </c>
      <c r="B84" s="1" t="n">
        <v>44425</v>
      </c>
      <c r="C84" s="1" t="n">
        <v>45985</v>
      </c>
      <c r="D84" t="inlineStr">
        <is>
          <t>STOCKHOLMS LÄN</t>
        </is>
      </c>
      <c r="E84" t="inlineStr">
        <is>
          <t>HANINGE</t>
        </is>
      </c>
      <c r="G84" t="n">
        <v>0.9</v>
      </c>
      <c r="H84" t="n">
        <v>0</v>
      </c>
      <c r="I84" t="n">
        <v>0</v>
      </c>
      <c r="J84" t="n">
        <v>0</v>
      </c>
      <c r="K84" t="n">
        <v>0</v>
      </c>
      <c r="L84" t="n">
        <v>0</v>
      </c>
      <c r="M84" t="n">
        <v>0</v>
      </c>
      <c r="N84" t="n">
        <v>0</v>
      </c>
      <c r="O84" t="n">
        <v>0</v>
      </c>
      <c r="P84" t="n">
        <v>0</v>
      </c>
      <c r="Q84" t="n">
        <v>0</v>
      </c>
      <c r="R84" s="2" t="inlineStr"/>
    </row>
    <row r="85" ht="15" customHeight="1">
      <c r="A85" t="inlineStr">
        <is>
          <t>A 68894-2021</t>
        </is>
      </c>
      <c r="B85" s="1" t="n">
        <v>44526</v>
      </c>
      <c r="C85" s="1" t="n">
        <v>45985</v>
      </c>
      <c r="D85" t="inlineStr">
        <is>
          <t>STOCKHOLMS LÄN</t>
        </is>
      </c>
      <c r="E85" t="inlineStr">
        <is>
          <t>HANINGE</t>
        </is>
      </c>
      <c r="G85" t="n">
        <v>1.2</v>
      </c>
      <c r="H85" t="n">
        <v>0</v>
      </c>
      <c r="I85" t="n">
        <v>0</v>
      </c>
      <c r="J85" t="n">
        <v>0</v>
      </c>
      <c r="K85" t="n">
        <v>0</v>
      </c>
      <c r="L85" t="n">
        <v>0</v>
      </c>
      <c r="M85" t="n">
        <v>0</v>
      </c>
      <c r="N85" t="n">
        <v>0</v>
      </c>
      <c r="O85" t="n">
        <v>0</v>
      </c>
      <c r="P85" t="n">
        <v>0</v>
      </c>
      <c r="Q85" t="n">
        <v>0</v>
      </c>
      <c r="R85" s="2" t="inlineStr"/>
    </row>
    <row r="86" ht="15" customHeight="1">
      <c r="A86" t="inlineStr">
        <is>
          <t>A 13046-2022</t>
        </is>
      </c>
      <c r="B86" s="1" t="n">
        <v>44643</v>
      </c>
      <c r="C86" s="1" t="n">
        <v>45985</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45985</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45985</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45985</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23666-2024</t>
        </is>
      </c>
      <c r="B90" s="1" t="n">
        <v>45454.57909722222</v>
      </c>
      <c r="C90" s="1" t="n">
        <v>45985</v>
      </c>
      <c r="D90" t="inlineStr">
        <is>
          <t>STOCKHOLMS LÄN</t>
        </is>
      </c>
      <c r="E90" t="inlineStr">
        <is>
          <t>HANINGE</t>
        </is>
      </c>
      <c r="G90" t="n">
        <v>0.8</v>
      </c>
      <c r="H90" t="n">
        <v>0</v>
      </c>
      <c r="I90" t="n">
        <v>0</v>
      </c>
      <c r="J90" t="n">
        <v>0</v>
      </c>
      <c r="K90" t="n">
        <v>0</v>
      </c>
      <c r="L90" t="n">
        <v>0</v>
      </c>
      <c r="M90" t="n">
        <v>0</v>
      </c>
      <c r="N90" t="n">
        <v>0</v>
      </c>
      <c r="O90" t="n">
        <v>0</v>
      </c>
      <c r="P90" t="n">
        <v>0</v>
      </c>
      <c r="Q90" t="n">
        <v>0</v>
      </c>
      <c r="R90" s="2" t="inlineStr"/>
    </row>
    <row r="91" ht="15" customHeight="1">
      <c r="A91" t="inlineStr">
        <is>
          <t>A 9946-2024</t>
        </is>
      </c>
      <c r="B91" s="1" t="n">
        <v>45363.59789351852</v>
      </c>
      <c r="C91" s="1" t="n">
        <v>45985</v>
      </c>
      <c r="D91" t="inlineStr">
        <is>
          <t>STOCKHOLMS LÄN</t>
        </is>
      </c>
      <c r="E91" t="inlineStr">
        <is>
          <t>HANINGE</t>
        </is>
      </c>
      <c r="G91" t="n">
        <v>3.8</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45985</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52836-2024</t>
        </is>
      </c>
      <c r="B93" s="1" t="n">
        <v>45610.59637731482</v>
      </c>
      <c r="C93" s="1" t="n">
        <v>45985</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5474-2024</t>
        </is>
      </c>
      <c r="B94" s="1" t="n">
        <v>45333.51131944444</v>
      </c>
      <c r="C94" s="1" t="n">
        <v>45985</v>
      </c>
      <c r="D94" t="inlineStr">
        <is>
          <t>STOCKHOLMS LÄN</t>
        </is>
      </c>
      <c r="E94" t="inlineStr">
        <is>
          <t>HANINGE</t>
        </is>
      </c>
      <c r="F94" t="inlineStr">
        <is>
          <t>Kommuner</t>
        </is>
      </c>
      <c r="G94" t="n">
        <v>0.9</v>
      </c>
      <c r="H94" t="n">
        <v>0</v>
      </c>
      <c r="I94" t="n">
        <v>0</v>
      </c>
      <c r="J94" t="n">
        <v>0</v>
      </c>
      <c r="K94" t="n">
        <v>0</v>
      </c>
      <c r="L94" t="n">
        <v>0</v>
      </c>
      <c r="M94" t="n">
        <v>0</v>
      </c>
      <c r="N94" t="n">
        <v>0</v>
      </c>
      <c r="O94" t="n">
        <v>0</v>
      </c>
      <c r="P94" t="n">
        <v>0</v>
      </c>
      <c r="Q94" t="n">
        <v>0</v>
      </c>
      <c r="R94" s="2" t="inlineStr"/>
    </row>
    <row r="95" ht="15" customHeight="1">
      <c r="A95" t="inlineStr">
        <is>
          <t>A 14900-2025</t>
        </is>
      </c>
      <c r="B95" s="1" t="n">
        <v>45743.48729166666</v>
      </c>
      <c r="C95" s="1" t="n">
        <v>45985</v>
      </c>
      <c r="D95" t="inlineStr">
        <is>
          <t>STOCKHOLMS LÄN</t>
        </is>
      </c>
      <c r="E95" t="inlineStr">
        <is>
          <t>HANINGE</t>
        </is>
      </c>
      <c r="G95" t="n">
        <v>4.5</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45985</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2025-11-24T10:20:20Z</dcterms:created>
  <dcterms:modified xmlns:dcterms="http://purl.org/dc/terms/" xmlns:xsi="http://www.w3.org/2001/XMLSchema-instance" xsi:type="dcterms:W3CDTF">2025-11-24T10:20:20Z</dcterms:modified>
</cp:coreProperties>
</file>