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46003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46003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46003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46003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46003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46003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46003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46003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46003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46003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59567-2025</t>
        </is>
      </c>
      <c r="B12" s="1" t="n">
        <v>45991.89914351852</v>
      </c>
      <c r="C12" s="1" t="n">
        <v>46003</v>
      </c>
      <c r="D12" t="inlineStr">
        <is>
          <t>STOCKHOLMS LÄN</t>
        </is>
      </c>
      <c r="E12" t="inlineStr">
        <is>
          <t>HANINGE</t>
        </is>
      </c>
      <c r="G12" t="n">
        <v>6.6</v>
      </c>
      <c r="H12" t="n">
        <v>1</v>
      </c>
      <c r="I12" t="n">
        <v>2</v>
      </c>
      <c r="J12" t="n">
        <v>4</v>
      </c>
      <c r="K12" t="n">
        <v>0</v>
      </c>
      <c r="L12" t="n">
        <v>0</v>
      </c>
      <c r="M12" t="n">
        <v>0</v>
      </c>
      <c r="N12" t="n">
        <v>0</v>
      </c>
      <c r="O12" t="n">
        <v>4</v>
      </c>
      <c r="P12" t="n">
        <v>0</v>
      </c>
      <c r="Q12" t="n">
        <v>6</v>
      </c>
      <c r="R12" s="2" t="inlineStr">
        <is>
          <t>Spillkråka
Tallticka
Ullticka
Vintertagging
Brandticka
Grovticka</t>
        </is>
      </c>
      <c r="S12">
        <f>HYPERLINK("https://klasma.github.io/Logging_0136/artfynd/A 59567-2025 artfynd.xlsx", "A 59567-2025")</f>
        <v/>
      </c>
      <c r="T12">
        <f>HYPERLINK("https://klasma.github.io/Logging_0136/kartor/A 59567-2025 karta.png", "A 59567-2025")</f>
        <v/>
      </c>
      <c r="V12">
        <f>HYPERLINK("https://klasma.github.io/Logging_0136/klagomål/A 59567-2025 FSC-klagomål.docx", "A 59567-2025")</f>
        <v/>
      </c>
      <c r="W12">
        <f>HYPERLINK("https://klasma.github.io/Logging_0136/klagomålsmail/A 59567-2025 FSC-klagomål mail.docx", "A 59567-2025")</f>
        <v/>
      </c>
      <c r="X12">
        <f>HYPERLINK("https://klasma.github.io/Logging_0136/tillsyn/A 59567-2025 tillsynsbegäran.docx", "A 59567-2025")</f>
        <v/>
      </c>
      <c r="Y12">
        <f>HYPERLINK("https://klasma.github.io/Logging_0136/tillsynsmail/A 59567-2025 tillsynsbegäran mail.docx", "A 59567-2025")</f>
        <v/>
      </c>
      <c r="Z12">
        <f>HYPERLINK("https://klasma.github.io/Logging_0136/fåglar/A 59567-2025 prioriterade fågelarter.docx", "A 59567-2025")</f>
        <v/>
      </c>
    </row>
    <row r="13" ht="15" customHeight="1">
      <c r="A13" t="inlineStr">
        <is>
          <t>A 59566-2025</t>
        </is>
      </c>
      <c r="B13" s="1" t="n">
        <v>45991.89199074074</v>
      </c>
      <c r="C13" s="1" t="n">
        <v>46003</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46003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46003</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46003</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46003</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46003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46003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37004-2022</t>
        </is>
      </c>
      <c r="B20" s="1" t="n">
        <v>44806</v>
      </c>
      <c r="C20" s="1" t="n">
        <v>46003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2722-2022</t>
        </is>
      </c>
      <c r="B21" s="1" t="n">
        <v>44580</v>
      </c>
      <c r="C21" s="1" t="n">
        <v>46003</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60369-2023</t>
        </is>
      </c>
      <c r="B22" s="1" t="n">
        <v>45259</v>
      </c>
      <c r="C22" s="1" t="n">
        <v>46003</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46003</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46003</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46003</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46003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46003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46003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46003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46003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46003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46003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46003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46003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46003</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46003</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46003</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46003</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46003</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45498-2022</t>
        </is>
      </c>
      <c r="B40" s="1" t="n">
        <v>44845.42118055555</v>
      </c>
      <c r="C40" s="1" t="n">
        <v>46003</v>
      </c>
      <c r="D40" t="inlineStr">
        <is>
          <t>STOCKHOLMS LÄN</t>
        </is>
      </c>
      <c r="E40" t="inlineStr">
        <is>
          <t>HANINGE</t>
        </is>
      </c>
      <c r="G40" t="n">
        <v>2.1</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46003</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55853-2021</t>
        </is>
      </c>
      <c r="B42" s="1" t="n">
        <v>44476</v>
      </c>
      <c r="C42" s="1" t="n">
        <v>46003</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19652-2022</t>
        </is>
      </c>
      <c r="B43" s="1" t="n">
        <v>44694</v>
      </c>
      <c r="C43" s="1" t="n">
        <v>46003</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46003</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45395-2021</t>
        </is>
      </c>
      <c r="B45" s="1" t="n">
        <v>44440</v>
      </c>
      <c r="C45" s="1" t="n">
        <v>46003</v>
      </c>
      <c r="D45" t="inlineStr">
        <is>
          <t>STOCKHOLMS LÄN</t>
        </is>
      </c>
      <c r="E45" t="inlineStr">
        <is>
          <t>HANINGE</t>
        </is>
      </c>
      <c r="F45" t="inlineStr">
        <is>
          <t>Övriga statliga verk och myndigheter</t>
        </is>
      </c>
      <c r="G45" t="n">
        <v>3.5</v>
      </c>
      <c r="H45" t="n">
        <v>0</v>
      </c>
      <c r="I45" t="n">
        <v>0</v>
      </c>
      <c r="J45" t="n">
        <v>0</v>
      </c>
      <c r="K45" t="n">
        <v>0</v>
      </c>
      <c r="L45" t="n">
        <v>0</v>
      </c>
      <c r="M45" t="n">
        <v>0</v>
      </c>
      <c r="N45" t="n">
        <v>0</v>
      </c>
      <c r="O45" t="n">
        <v>0</v>
      </c>
      <c r="P45" t="n">
        <v>0</v>
      </c>
      <c r="Q45" t="n">
        <v>0</v>
      </c>
      <c r="R45" s="2" t="inlineStr"/>
    </row>
    <row r="46" ht="15" customHeight="1">
      <c r="A46" t="inlineStr">
        <is>
          <t>A 43709-2021</t>
        </is>
      </c>
      <c r="B46" s="1" t="n">
        <v>44433.62136574074</v>
      </c>
      <c r="C46" s="1" t="n">
        <v>46003</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46003</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46003</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58599-2023</t>
        </is>
      </c>
      <c r="B49" s="1" t="n">
        <v>45251.47721064815</v>
      </c>
      <c r="C49" s="1" t="n">
        <v>46003</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18528-2024</t>
        </is>
      </c>
      <c r="B50" s="1" t="n">
        <v>45425.61965277778</v>
      </c>
      <c r="C50" s="1" t="n">
        <v>46003</v>
      </c>
      <c r="D50" t="inlineStr">
        <is>
          <t>STOCKHOLMS LÄN</t>
        </is>
      </c>
      <c r="E50" t="inlineStr">
        <is>
          <t>HANINGE</t>
        </is>
      </c>
      <c r="F50" t="inlineStr">
        <is>
          <t>Kommuner</t>
        </is>
      </c>
      <c r="G50" t="n">
        <v>0.5</v>
      </c>
      <c r="H50" t="n">
        <v>0</v>
      </c>
      <c r="I50" t="n">
        <v>0</v>
      </c>
      <c r="J50" t="n">
        <v>0</v>
      </c>
      <c r="K50" t="n">
        <v>0</v>
      </c>
      <c r="L50" t="n">
        <v>0</v>
      </c>
      <c r="M50" t="n">
        <v>0</v>
      </c>
      <c r="N50" t="n">
        <v>0</v>
      </c>
      <c r="O50" t="n">
        <v>0</v>
      </c>
      <c r="P50" t="n">
        <v>0</v>
      </c>
      <c r="Q50" t="n">
        <v>0</v>
      </c>
      <c r="R50" s="2" t="inlineStr"/>
    </row>
    <row r="51" ht="15" customHeight="1">
      <c r="A51" t="inlineStr">
        <is>
          <t>A 18491-2025</t>
        </is>
      </c>
      <c r="B51" s="1" t="n">
        <v>45763.34135416667</v>
      </c>
      <c r="C51" s="1" t="n">
        <v>46003</v>
      </c>
      <c r="D51" t="inlineStr">
        <is>
          <t>STOCKHOLMS LÄN</t>
        </is>
      </c>
      <c r="E51" t="inlineStr">
        <is>
          <t>HANINGE</t>
        </is>
      </c>
      <c r="G51" t="n">
        <v>0.5</v>
      </c>
      <c r="H51" t="n">
        <v>0</v>
      </c>
      <c r="I51" t="n">
        <v>0</v>
      </c>
      <c r="J51" t="n">
        <v>0</v>
      </c>
      <c r="K51" t="n">
        <v>0</v>
      </c>
      <c r="L51" t="n">
        <v>0</v>
      </c>
      <c r="M51" t="n">
        <v>0</v>
      </c>
      <c r="N51" t="n">
        <v>0</v>
      </c>
      <c r="O51" t="n">
        <v>0</v>
      </c>
      <c r="P51" t="n">
        <v>0</v>
      </c>
      <c r="Q51" t="n">
        <v>0</v>
      </c>
      <c r="R51" s="2" t="inlineStr"/>
    </row>
    <row r="52" ht="15" customHeight="1">
      <c r="A52" t="inlineStr">
        <is>
          <t>A 20527-2025</t>
        </is>
      </c>
      <c r="B52" s="1" t="n">
        <v>45775.60663194444</v>
      </c>
      <c r="C52" s="1" t="n">
        <v>46003</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46003</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1187-2024</t>
        </is>
      </c>
      <c r="B54" s="1" t="n">
        <v>45302.58045138889</v>
      </c>
      <c r="C54" s="1" t="n">
        <v>46003</v>
      </c>
      <c r="D54" t="inlineStr">
        <is>
          <t>STOCKHOLMS LÄN</t>
        </is>
      </c>
      <c r="E54" t="inlineStr">
        <is>
          <t>HANINGE</t>
        </is>
      </c>
      <c r="G54" t="n">
        <v>1.5</v>
      </c>
      <c r="H54" t="n">
        <v>0</v>
      </c>
      <c r="I54" t="n">
        <v>0</v>
      </c>
      <c r="J54" t="n">
        <v>0</v>
      </c>
      <c r="K54" t="n">
        <v>0</v>
      </c>
      <c r="L54" t="n">
        <v>0</v>
      </c>
      <c r="M54" t="n">
        <v>0</v>
      </c>
      <c r="N54" t="n">
        <v>0</v>
      </c>
      <c r="O54" t="n">
        <v>0</v>
      </c>
      <c r="P54" t="n">
        <v>0</v>
      </c>
      <c r="Q54" t="n">
        <v>0</v>
      </c>
      <c r="R54" s="2" t="inlineStr"/>
    </row>
    <row r="55" ht="15" customHeight="1">
      <c r="A55" t="inlineStr">
        <is>
          <t>A 52770-2024</t>
        </is>
      </c>
      <c r="B55" s="1" t="n">
        <v>45610.52414351852</v>
      </c>
      <c r="C55" s="1" t="n">
        <v>46003</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52836-2024</t>
        </is>
      </c>
      <c r="B56" s="1" t="n">
        <v>45610.59637731482</v>
      </c>
      <c r="C56" s="1" t="n">
        <v>46003</v>
      </c>
      <c r="D56" t="inlineStr">
        <is>
          <t>STOCKHOLMS LÄN</t>
        </is>
      </c>
      <c r="E56" t="inlineStr">
        <is>
          <t>HANINGE</t>
        </is>
      </c>
      <c r="G56" t="n">
        <v>1</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46003</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1180-2024</t>
        </is>
      </c>
      <c r="B58" s="1" t="n">
        <v>45302</v>
      </c>
      <c r="C58" s="1" t="n">
        <v>46003</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46003</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14900-2025</t>
        </is>
      </c>
      <c r="B60" s="1" t="n">
        <v>45743.48729166666</v>
      </c>
      <c r="C60" s="1" t="n">
        <v>46003</v>
      </c>
      <c r="D60" t="inlineStr">
        <is>
          <t>STOCKHOLMS LÄN</t>
        </is>
      </c>
      <c r="E60" t="inlineStr">
        <is>
          <t>HANINGE</t>
        </is>
      </c>
      <c r="G60" t="n">
        <v>4.5</v>
      </c>
      <c r="H60" t="n">
        <v>0</v>
      </c>
      <c r="I60" t="n">
        <v>0</v>
      </c>
      <c r="J60" t="n">
        <v>0</v>
      </c>
      <c r="K60" t="n">
        <v>0</v>
      </c>
      <c r="L60" t="n">
        <v>0</v>
      </c>
      <c r="M60" t="n">
        <v>0</v>
      </c>
      <c r="N60" t="n">
        <v>0</v>
      </c>
      <c r="O60" t="n">
        <v>0</v>
      </c>
      <c r="P60" t="n">
        <v>0</v>
      </c>
      <c r="Q60" t="n">
        <v>0</v>
      </c>
      <c r="R60" s="2" t="inlineStr"/>
    </row>
    <row r="61" ht="15" customHeight="1">
      <c r="A61" t="inlineStr">
        <is>
          <t>A 6648-2023</t>
        </is>
      </c>
      <c r="B61" s="1" t="n">
        <v>44966</v>
      </c>
      <c r="C61" s="1" t="n">
        <v>46003</v>
      </c>
      <c r="D61" t="inlineStr">
        <is>
          <t>STOCKHOLMS LÄN</t>
        </is>
      </c>
      <c r="E61" t="inlineStr">
        <is>
          <t>HANINGE</t>
        </is>
      </c>
      <c r="G61" t="n">
        <v>4</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46003</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46003</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19220-2023</t>
        </is>
      </c>
      <c r="B64" s="1" t="n">
        <v>45048</v>
      </c>
      <c r="C64" s="1" t="n">
        <v>46003</v>
      </c>
      <c r="D64" t="inlineStr">
        <is>
          <t>STOCKHOLMS LÄN</t>
        </is>
      </c>
      <c r="E64" t="inlineStr">
        <is>
          <t>HANINGE</t>
        </is>
      </c>
      <c r="G64" t="n">
        <v>1.4</v>
      </c>
      <c r="H64" t="n">
        <v>0</v>
      </c>
      <c r="I64" t="n">
        <v>0</v>
      </c>
      <c r="J64" t="n">
        <v>0</v>
      </c>
      <c r="K64" t="n">
        <v>0</v>
      </c>
      <c r="L64" t="n">
        <v>0</v>
      </c>
      <c r="M64" t="n">
        <v>0</v>
      </c>
      <c r="N64" t="n">
        <v>0</v>
      </c>
      <c r="O64" t="n">
        <v>0</v>
      </c>
      <c r="P64" t="n">
        <v>0</v>
      </c>
      <c r="Q64" t="n">
        <v>0</v>
      </c>
      <c r="R64" s="2" t="inlineStr"/>
    </row>
    <row r="65" ht="15" customHeight="1">
      <c r="A65" t="inlineStr">
        <is>
          <t>A 18490-2025</t>
        </is>
      </c>
      <c r="B65" s="1" t="n">
        <v>45763</v>
      </c>
      <c r="C65" s="1" t="n">
        <v>46003</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22288-2023</t>
        </is>
      </c>
      <c r="B66" s="1" t="n">
        <v>45070</v>
      </c>
      <c r="C66" s="1" t="n">
        <v>46003</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33792-2023</t>
        </is>
      </c>
      <c r="B67" s="1" t="n">
        <v>45121</v>
      </c>
      <c r="C67" s="1" t="n">
        <v>46003</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21231-2025</t>
        </is>
      </c>
      <c r="B68" s="1" t="n">
        <v>45779.54644675926</v>
      </c>
      <c r="C68" s="1" t="n">
        <v>46003</v>
      </c>
      <c r="D68" t="inlineStr">
        <is>
          <t>STOCKHOLMS LÄN</t>
        </is>
      </c>
      <c r="E68" t="inlineStr">
        <is>
          <t>HANINGE</t>
        </is>
      </c>
      <c r="G68" t="n">
        <v>4.3</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46003</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46003</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18548-2024</t>
        </is>
      </c>
      <c r="B71" s="1" t="n">
        <v>45425.64708333334</v>
      </c>
      <c r="C71" s="1" t="n">
        <v>46003</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46003</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38880-2025</t>
        </is>
      </c>
      <c r="B73" s="1" t="n">
        <v>45887.57966435186</v>
      </c>
      <c r="C73" s="1" t="n">
        <v>46003</v>
      </c>
      <c r="D73" t="inlineStr">
        <is>
          <t>STOCKHOLMS LÄN</t>
        </is>
      </c>
      <c r="E73" t="inlineStr">
        <is>
          <t>HANINGE</t>
        </is>
      </c>
      <c r="G73" t="n">
        <v>3.2</v>
      </c>
      <c r="H73" t="n">
        <v>0</v>
      </c>
      <c r="I73" t="n">
        <v>0</v>
      </c>
      <c r="J73" t="n">
        <v>0</v>
      </c>
      <c r="K73" t="n">
        <v>0</v>
      </c>
      <c r="L73" t="n">
        <v>0</v>
      </c>
      <c r="M73" t="n">
        <v>0</v>
      </c>
      <c r="N73" t="n">
        <v>0</v>
      </c>
      <c r="O73" t="n">
        <v>0</v>
      </c>
      <c r="P73" t="n">
        <v>0</v>
      </c>
      <c r="Q73" t="n">
        <v>0</v>
      </c>
      <c r="R73" s="2" t="inlineStr"/>
    </row>
    <row r="74" ht="15" customHeight="1">
      <c r="A74" t="inlineStr">
        <is>
          <t>A 8163-2024</t>
        </is>
      </c>
      <c r="B74" s="1" t="n">
        <v>45351.60337962963</v>
      </c>
      <c r="C74" s="1" t="n">
        <v>46003</v>
      </c>
      <c r="D74" t="inlineStr">
        <is>
          <t>STOCKHOLMS LÄN</t>
        </is>
      </c>
      <c r="E74" t="inlineStr">
        <is>
          <t>HANINGE</t>
        </is>
      </c>
      <c r="F74" t="inlineStr">
        <is>
          <t>Kommuner</t>
        </is>
      </c>
      <c r="G74" t="n">
        <v>3.8</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46003</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18512-2024</t>
        </is>
      </c>
      <c r="B76" s="1" t="n">
        <v>45425.59938657407</v>
      </c>
      <c r="C76" s="1" t="n">
        <v>46003</v>
      </c>
      <c r="D76" t="inlineStr">
        <is>
          <t>STOCKHOLMS LÄN</t>
        </is>
      </c>
      <c r="E76" t="inlineStr">
        <is>
          <t>HANINGE</t>
        </is>
      </c>
      <c r="F76" t="inlineStr">
        <is>
          <t>Kommuner</t>
        </is>
      </c>
      <c r="G76" t="n">
        <v>0.7</v>
      </c>
      <c r="H76" t="n">
        <v>0</v>
      </c>
      <c r="I76" t="n">
        <v>0</v>
      </c>
      <c r="J76" t="n">
        <v>0</v>
      </c>
      <c r="K76" t="n">
        <v>0</v>
      </c>
      <c r="L76" t="n">
        <v>0</v>
      </c>
      <c r="M76" t="n">
        <v>0</v>
      </c>
      <c r="N76" t="n">
        <v>0</v>
      </c>
      <c r="O76" t="n">
        <v>0</v>
      </c>
      <c r="P76" t="n">
        <v>0</v>
      </c>
      <c r="Q76" t="n">
        <v>0</v>
      </c>
      <c r="R76" s="2" t="inlineStr"/>
    </row>
    <row r="77" ht="15" customHeight="1">
      <c r="A77" t="inlineStr">
        <is>
          <t>A 4297-2024</t>
        </is>
      </c>
      <c r="B77" s="1" t="n">
        <v>45324.62291666667</v>
      </c>
      <c r="C77" s="1" t="n">
        <v>46003</v>
      </c>
      <c r="D77" t="inlineStr">
        <is>
          <t>STOCKHOLMS LÄN</t>
        </is>
      </c>
      <c r="E77" t="inlineStr">
        <is>
          <t>HANINGE</t>
        </is>
      </c>
      <c r="F77" t="inlineStr">
        <is>
          <t>Kommuner</t>
        </is>
      </c>
      <c r="G77" t="n">
        <v>0.4</v>
      </c>
      <c r="H77" t="n">
        <v>0</v>
      </c>
      <c r="I77" t="n">
        <v>0</v>
      </c>
      <c r="J77" t="n">
        <v>0</v>
      </c>
      <c r="K77" t="n">
        <v>0</v>
      </c>
      <c r="L77" t="n">
        <v>0</v>
      </c>
      <c r="M77" t="n">
        <v>0</v>
      </c>
      <c r="N77" t="n">
        <v>0</v>
      </c>
      <c r="O77" t="n">
        <v>0</v>
      </c>
      <c r="P77" t="n">
        <v>0</v>
      </c>
      <c r="Q77" t="n">
        <v>0</v>
      </c>
      <c r="R77" s="2" t="inlineStr"/>
    </row>
    <row r="78" ht="15" customHeight="1">
      <c r="A78" t="inlineStr">
        <is>
          <t>A 13046-2022</t>
        </is>
      </c>
      <c r="B78" s="1" t="n">
        <v>44643</v>
      </c>
      <c r="C78" s="1" t="n">
        <v>46003</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1703-2023</t>
        </is>
      </c>
      <c r="B79" s="1" t="n">
        <v>44938.44412037037</v>
      </c>
      <c r="C79" s="1" t="n">
        <v>46003</v>
      </c>
      <c r="D79" t="inlineStr">
        <is>
          <t>STOCKHOLMS LÄN</t>
        </is>
      </c>
      <c r="E79" t="inlineStr">
        <is>
          <t>HANINGE</t>
        </is>
      </c>
      <c r="G79" t="n">
        <v>1.8</v>
      </c>
      <c r="H79" t="n">
        <v>0</v>
      </c>
      <c r="I79" t="n">
        <v>0</v>
      </c>
      <c r="J79" t="n">
        <v>0</v>
      </c>
      <c r="K79" t="n">
        <v>0</v>
      </c>
      <c r="L79" t="n">
        <v>0</v>
      </c>
      <c r="M79" t="n">
        <v>0</v>
      </c>
      <c r="N79" t="n">
        <v>0</v>
      </c>
      <c r="O79" t="n">
        <v>0</v>
      </c>
      <c r="P79" t="n">
        <v>0</v>
      </c>
      <c r="Q79" t="n">
        <v>0</v>
      </c>
      <c r="R79" s="2" t="inlineStr"/>
    </row>
    <row r="80" ht="15" customHeight="1">
      <c r="A80" t="inlineStr">
        <is>
          <t>A 17765-2024</t>
        </is>
      </c>
      <c r="B80" s="1" t="n">
        <v>45418.63149305555</v>
      </c>
      <c r="C80" s="1" t="n">
        <v>46003</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46003</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24873-2023</t>
        </is>
      </c>
      <c r="B82" s="1" t="n">
        <v>45085</v>
      </c>
      <c r="C82" s="1" t="n">
        <v>46003</v>
      </c>
      <c r="D82" t="inlineStr">
        <is>
          <t>STOCKHOLMS LÄN</t>
        </is>
      </c>
      <c r="E82" t="inlineStr">
        <is>
          <t>HANINGE</t>
        </is>
      </c>
      <c r="G82" t="n">
        <v>1.9</v>
      </c>
      <c r="H82" t="n">
        <v>0</v>
      </c>
      <c r="I82" t="n">
        <v>0</v>
      </c>
      <c r="J82" t="n">
        <v>0</v>
      </c>
      <c r="K82" t="n">
        <v>0</v>
      </c>
      <c r="L82" t="n">
        <v>0</v>
      </c>
      <c r="M82" t="n">
        <v>0</v>
      </c>
      <c r="N82" t="n">
        <v>0</v>
      </c>
      <c r="O82" t="n">
        <v>0</v>
      </c>
      <c r="P82" t="n">
        <v>0</v>
      </c>
      <c r="Q82" t="n">
        <v>0</v>
      </c>
      <c r="R82" s="2" t="inlineStr"/>
    </row>
    <row r="83" ht="15" customHeight="1">
      <c r="A83" t="inlineStr">
        <is>
          <t>A 52773-2024</t>
        </is>
      </c>
      <c r="B83" s="1" t="n">
        <v>45610.53207175926</v>
      </c>
      <c r="C83" s="1" t="n">
        <v>46003</v>
      </c>
      <c r="D83" t="inlineStr">
        <is>
          <t>STOCKHOLMS LÄN</t>
        </is>
      </c>
      <c r="E83" t="inlineStr">
        <is>
          <t>HANINGE</t>
        </is>
      </c>
      <c r="G83" t="n">
        <v>0.7</v>
      </c>
      <c r="H83" t="n">
        <v>0</v>
      </c>
      <c r="I83" t="n">
        <v>0</v>
      </c>
      <c r="J83" t="n">
        <v>0</v>
      </c>
      <c r="K83" t="n">
        <v>0</v>
      </c>
      <c r="L83" t="n">
        <v>0</v>
      </c>
      <c r="M83" t="n">
        <v>0</v>
      </c>
      <c r="N83" t="n">
        <v>0</v>
      </c>
      <c r="O83" t="n">
        <v>0</v>
      </c>
      <c r="P83" t="n">
        <v>0</v>
      </c>
      <c r="Q83" t="n">
        <v>0</v>
      </c>
      <c r="R83" s="2" t="inlineStr"/>
    </row>
    <row r="84" ht="15" customHeight="1">
      <c r="A84" t="inlineStr">
        <is>
          <t>A 23666-2024</t>
        </is>
      </c>
      <c r="B84" s="1" t="n">
        <v>45454.57909722222</v>
      </c>
      <c r="C84" s="1" t="n">
        <v>46003</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ht="15" customHeight="1">
      <c r="A85" t="inlineStr">
        <is>
          <t>A 25584-2023</t>
        </is>
      </c>
      <c r="B85" s="1" t="n">
        <v>45089</v>
      </c>
      <c r="C85" s="1" t="n">
        <v>46003</v>
      </c>
      <c r="D85" t="inlineStr">
        <is>
          <t>STOCKHOLMS LÄN</t>
        </is>
      </c>
      <c r="E85" t="inlineStr">
        <is>
          <t>HANINGE</t>
        </is>
      </c>
      <c r="G85" t="n">
        <v>4.8</v>
      </c>
      <c r="H85" t="n">
        <v>0</v>
      </c>
      <c r="I85" t="n">
        <v>0</v>
      </c>
      <c r="J85" t="n">
        <v>0</v>
      </c>
      <c r="K85" t="n">
        <v>0</v>
      </c>
      <c r="L85" t="n">
        <v>0</v>
      </c>
      <c r="M85" t="n">
        <v>0</v>
      </c>
      <c r="N85" t="n">
        <v>0</v>
      </c>
      <c r="O85" t="n">
        <v>0</v>
      </c>
      <c r="P85" t="n">
        <v>0</v>
      </c>
      <c r="Q85" t="n">
        <v>0</v>
      </c>
      <c r="R85" s="2" t="inlineStr"/>
    </row>
    <row r="86" ht="15" customHeight="1">
      <c r="A86" t="inlineStr">
        <is>
          <t>A 9946-2024</t>
        </is>
      </c>
      <c r="B86" s="1" t="n">
        <v>45363.59789351852</v>
      </c>
      <c r="C86" s="1" t="n">
        <v>46003</v>
      </c>
      <c r="D86" t="inlineStr">
        <is>
          <t>STOCKHOLMS LÄN</t>
        </is>
      </c>
      <c r="E86" t="inlineStr">
        <is>
          <t>HANINGE</t>
        </is>
      </c>
      <c r="G86" t="n">
        <v>3.8</v>
      </c>
      <c r="H86" t="n">
        <v>0</v>
      </c>
      <c r="I86" t="n">
        <v>0</v>
      </c>
      <c r="J86" t="n">
        <v>0</v>
      </c>
      <c r="K86" t="n">
        <v>0</v>
      </c>
      <c r="L86" t="n">
        <v>0</v>
      </c>
      <c r="M86" t="n">
        <v>0</v>
      </c>
      <c r="N86" t="n">
        <v>0</v>
      </c>
      <c r="O86" t="n">
        <v>0</v>
      </c>
      <c r="P86" t="n">
        <v>0</v>
      </c>
      <c r="Q86" t="n">
        <v>0</v>
      </c>
      <c r="R86" s="2" t="inlineStr"/>
    </row>
    <row r="87" ht="15" customHeight="1">
      <c r="A87" t="inlineStr">
        <is>
          <t>A 24115-2025</t>
        </is>
      </c>
      <c r="B87" s="1" t="n">
        <v>45796.61494212963</v>
      </c>
      <c r="C87" s="1" t="n">
        <v>46003</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24191-2025</t>
        </is>
      </c>
      <c r="B88" s="1" t="n">
        <v>45796.86738425926</v>
      </c>
      <c r="C88" s="1" t="n">
        <v>46003</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24193-2025</t>
        </is>
      </c>
      <c r="B89" s="1" t="n">
        <v>45796.89591435185</v>
      </c>
      <c r="C89" s="1" t="n">
        <v>46003</v>
      </c>
      <c r="D89" t="inlineStr">
        <is>
          <t>STOCKHOLMS LÄN</t>
        </is>
      </c>
      <c r="E89" t="inlineStr">
        <is>
          <t>HANINGE</t>
        </is>
      </c>
      <c r="G89" t="n">
        <v>0.4</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46003</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27596-2025</t>
        </is>
      </c>
      <c r="B91" s="1" t="n">
        <v>45813.52303240741</v>
      </c>
      <c r="C91" s="1" t="n">
        <v>46003</v>
      </c>
      <c r="D91" t="inlineStr">
        <is>
          <t>STOCKHOLMS LÄN</t>
        </is>
      </c>
      <c r="E91" t="inlineStr">
        <is>
          <t>HANINGE</t>
        </is>
      </c>
      <c r="G91" t="n">
        <v>0.1</v>
      </c>
      <c r="H91" t="n">
        <v>0</v>
      </c>
      <c r="I91" t="n">
        <v>0</v>
      </c>
      <c r="J91" t="n">
        <v>0</v>
      </c>
      <c r="K91" t="n">
        <v>0</v>
      </c>
      <c r="L91" t="n">
        <v>0</v>
      </c>
      <c r="M91" t="n">
        <v>0</v>
      </c>
      <c r="N91" t="n">
        <v>0</v>
      </c>
      <c r="O91" t="n">
        <v>0</v>
      </c>
      <c r="P91" t="n">
        <v>0</v>
      </c>
      <c r="Q91" t="n">
        <v>0</v>
      </c>
      <c r="R91" s="2" t="inlineStr"/>
    </row>
    <row r="92" ht="15" customHeight="1">
      <c r="A92" t="inlineStr">
        <is>
          <t>A 48606-2025</t>
        </is>
      </c>
      <c r="B92" s="1" t="n">
        <v>45936.47019675926</v>
      </c>
      <c r="C92" s="1" t="n">
        <v>46003</v>
      </c>
      <c r="D92" t="inlineStr">
        <is>
          <t>STOCKHOLMS LÄN</t>
        </is>
      </c>
      <c r="E92" t="inlineStr">
        <is>
          <t>HANINGE</t>
        </is>
      </c>
      <c r="G92" t="n">
        <v>6.9</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46003</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46003</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ht="15" customHeight="1">
      <c r="A95" t="inlineStr">
        <is>
          <t>A 59568-2025</t>
        </is>
      </c>
      <c r="B95" s="1" t="n">
        <v>45991.90737268519</v>
      </c>
      <c r="C95" s="1" t="n">
        <v>46003</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row r="96" ht="15" customHeight="1">
      <c r="A96" t="inlineStr">
        <is>
          <t>A 59569-2025</t>
        </is>
      </c>
      <c r="B96" s="1" t="n">
        <v>45991.92870370371</v>
      </c>
      <c r="C96" s="1" t="n">
        <v>46003</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ht="15" customHeight="1">
      <c r="A97" t="inlineStr">
        <is>
          <t>A 59565-2025</t>
        </is>
      </c>
      <c r="B97" s="1" t="n">
        <v>45991.88413194445</v>
      </c>
      <c r="C97" s="1" t="n">
        <v>46003</v>
      </c>
      <c r="D97" t="inlineStr">
        <is>
          <t>STOCKHOLMS LÄN</t>
        </is>
      </c>
      <c r="E97" t="inlineStr">
        <is>
          <t>HANINGE</t>
        </is>
      </c>
      <c r="G97" t="n">
        <v>1.2</v>
      </c>
      <c r="H97" t="n">
        <v>0</v>
      </c>
      <c r="I97" t="n">
        <v>0</v>
      </c>
      <c r="J97" t="n">
        <v>0</v>
      </c>
      <c r="K97" t="n">
        <v>0</v>
      </c>
      <c r="L97" t="n">
        <v>0</v>
      </c>
      <c r="M97" t="n">
        <v>0</v>
      </c>
      <c r="N97" t="n">
        <v>0</v>
      </c>
      <c r="O97" t="n">
        <v>0</v>
      </c>
      <c r="P97" t="n">
        <v>0</v>
      </c>
      <c r="Q97" t="n">
        <v>0</v>
      </c>
      <c r="R97" s="2" t="inlineStr"/>
    </row>
    <row r="98" ht="15" customHeight="1">
      <c r="A98" t="inlineStr">
        <is>
          <t>A 32948-2025</t>
        </is>
      </c>
      <c r="B98" s="1" t="n">
        <v>45839</v>
      </c>
      <c r="C98" s="1" t="n">
        <v>46003</v>
      </c>
      <c r="D98" t="inlineStr">
        <is>
          <t>STOCKHOLMS LÄN</t>
        </is>
      </c>
      <c r="E98" t="inlineStr">
        <is>
          <t>HANINGE</t>
        </is>
      </c>
      <c r="G98" t="n">
        <v>1.1</v>
      </c>
      <c r="H98" t="n">
        <v>0</v>
      </c>
      <c r="I98" t="n">
        <v>0</v>
      </c>
      <c r="J98" t="n">
        <v>0</v>
      </c>
      <c r="K98" t="n">
        <v>0</v>
      </c>
      <c r="L98" t="n">
        <v>0</v>
      </c>
      <c r="M98" t="n">
        <v>0</v>
      </c>
      <c r="N98" t="n">
        <v>0</v>
      </c>
      <c r="O98" t="n">
        <v>0</v>
      </c>
      <c r="P98" t="n">
        <v>0</v>
      </c>
      <c r="Q98" t="n">
        <v>0</v>
      </c>
      <c r="R98" s="2" t="inlineStr"/>
    </row>
    <row r="99" ht="15" customHeight="1">
      <c r="A99" t="inlineStr">
        <is>
          <t>A 14264-2025</t>
        </is>
      </c>
      <c r="B99" s="1" t="n">
        <v>45740.6340162037</v>
      </c>
      <c r="C99" s="1" t="n">
        <v>46003</v>
      </c>
      <c r="D99" t="inlineStr">
        <is>
          <t>STOCKHOLMS LÄN</t>
        </is>
      </c>
      <c r="E99" t="inlineStr">
        <is>
          <t>HANINGE</t>
        </is>
      </c>
      <c r="G99" t="n">
        <v>1</v>
      </c>
      <c r="H99" t="n">
        <v>0</v>
      </c>
      <c r="I99" t="n">
        <v>0</v>
      </c>
      <c r="J99" t="n">
        <v>0</v>
      </c>
      <c r="K99" t="n">
        <v>0</v>
      </c>
      <c r="L99" t="n">
        <v>0</v>
      </c>
      <c r="M99" t="n">
        <v>0</v>
      </c>
      <c r="N99" t="n">
        <v>0</v>
      </c>
      <c r="O99" t="n">
        <v>0</v>
      </c>
      <c r="P99" t="n">
        <v>0</v>
      </c>
      <c r="Q99" t="n">
        <v>0</v>
      </c>
      <c r="R99" s="2" t="inlineStr"/>
    </row>
    <row r="100">
      <c r="A100" t="inlineStr">
        <is>
          <t>A 17020-2022</t>
        </is>
      </c>
      <c r="B100" s="1" t="n">
        <v>44676</v>
      </c>
      <c r="C100" s="1" t="n">
        <v>46003</v>
      </c>
      <c r="D100" t="inlineStr">
        <is>
          <t>STOCKHOLMS LÄN</t>
        </is>
      </c>
      <c r="E100" t="inlineStr">
        <is>
          <t>HANINGE</t>
        </is>
      </c>
      <c r="F100" t="inlineStr">
        <is>
          <t>Övriga statliga verk och myndigheter</t>
        </is>
      </c>
      <c r="G100" t="n">
        <v>12.4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2025-12-12T10:28:21Z</dcterms:created>
  <dcterms:modified xmlns:dcterms="http://purl.org/dc/terms/" xmlns:xsi="http://www.w3.org/2001/XMLSchema-instance" xsi:type="dcterms:W3CDTF">2025-12-12T10:28:21Z</dcterms:modified>
</cp:coreProperties>
</file>