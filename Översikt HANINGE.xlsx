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46288</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46288</v>
      </c>
      <c r="F3" t="inlineStr">
        <is>
          <t>STOCKHOLMS LÄN</t>
        </is>
      </c>
      <c r="G3" t="inlineStr">
        <is>
          <t>HANINGE</t>
        </is>
      </c>
      <c r="I3" t="n">
        <v>19.9</v>
      </c>
      <c r="J3" t="n">
        <v>23</v>
      </c>
      <c r="K3" t="n">
        <v>21</v>
      </c>
      <c r="L3" t="n">
        <v>18</v>
      </c>
      <c r="M3" t="n">
        <v>7</v>
      </c>
      <c r="N3" t="n">
        <v>0</v>
      </c>
      <c r="O3" t="n">
        <v>0</v>
      </c>
      <c r="P3" t="n">
        <v>0</v>
      </c>
      <c r="Q3" t="n">
        <v>25</v>
      </c>
      <c r="R3" t="n">
        <v>7</v>
      </c>
      <c r="S3" t="n">
        <v>63</v>
      </c>
      <c r="T3" t="n">
        <v>258</v>
      </c>
      <c r="U3" t="n">
        <v>123</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46288</v>
      </c>
      <c r="F4" t="inlineStr">
        <is>
          <t>STOCKHOLMS LÄN</t>
        </is>
      </c>
      <c r="G4" t="inlineStr">
        <is>
          <t>HANINGE</t>
        </is>
      </c>
      <c r="I4" t="n">
        <v>19.8</v>
      </c>
      <c r="J4" t="n">
        <v>22</v>
      </c>
      <c r="K4" t="n">
        <v>20</v>
      </c>
      <c r="L4" t="n">
        <v>18</v>
      </c>
      <c r="M4" t="n">
        <v>7</v>
      </c>
      <c r="N4" t="n">
        <v>0</v>
      </c>
      <c r="O4" t="n">
        <v>0</v>
      </c>
      <c r="P4" t="n">
        <v>0</v>
      </c>
      <c r="Q4" t="n">
        <v>25</v>
      </c>
      <c r="R4" t="n">
        <v>7</v>
      </c>
      <c r="S4" t="n">
        <v>58</v>
      </c>
      <c r="T4" t="n">
        <v>259</v>
      </c>
      <c r="U4" t="n">
        <v>168</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46288</v>
      </c>
      <c r="F5" t="inlineStr">
        <is>
          <t>STOCKHOLMS LÄN</t>
        </is>
      </c>
      <c r="G5" t="inlineStr">
        <is>
          <t>HANINGE</t>
        </is>
      </c>
      <c r="I5" t="n">
        <v>54.5</v>
      </c>
      <c r="J5" t="n">
        <v>13</v>
      </c>
      <c r="K5" t="n">
        <v>14</v>
      </c>
      <c r="L5" t="n">
        <v>22</v>
      </c>
      <c r="M5" t="n">
        <v>2</v>
      </c>
      <c r="N5" t="n">
        <v>0</v>
      </c>
      <c r="O5" t="n">
        <v>0</v>
      </c>
      <c r="P5" t="n">
        <v>0</v>
      </c>
      <c r="Q5" t="n">
        <v>24</v>
      </c>
      <c r="R5" t="n">
        <v>2</v>
      </c>
      <c r="S5" t="n">
        <v>49</v>
      </c>
      <c r="T5" t="n">
        <v>406</v>
      </c>
      <c r="U5" t="n">
        <v>264</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46288</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46288</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46288</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46288</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46288</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46288</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46288</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59567-2025</t>
        </is>
      </c>
      <c r="B13" t="inlineStr">
        <is>
          <t>avverkningsanmälan</t>
        </is>
      </c>
      <c r="C13" t="inlineStr">
        <is>
          <t>Föryngringsavverkning</t>
        </is>
      </c>
      <c r="D13" s="1" t="n">
        <v>45991</v>
      </c>
      <c r="E13" s="1" t="n">
        <v>46288</v>
      </c>
      <c r="F13" t="inlineStr">
        <is>
          <t>STOCKHOLMS LÄN</t>
        </is>
      </c>
      <c r="G13" t="inlineStr">
        <is>
          <t>HANINGE</t>
        </is>
      </c>
      <c r="I13" t="n">
        <v>6.6</v>
      </c>
      <c r="J13" t="n">
        <v>5</v>
      </c>
      <c r="K13" t="n">
        <v>8</v>
      </c>
      <c r="L13" t="n">
        <v>8</v>
      </c>
      <c r="M13" t="n">
        <v>1</v>
      </c>
      <c r="N13" t="n">
        <v>0</v>
      </c>
      <c r="O13" t="n">
        <v>0</v>
      </c>
      <c r="P13" t="n">
        <v>0</v>
      </c>
      <c r="Q13" t="n">
        <v>9</v>
      </c>
      <c r="R13" t="n">
        <v>1</v>
      </c>
      <c r="S13" t="n">
        <v>19</v>
      </c>
      <c r="T13" t="n">
        <v>32</v>
      </c>
      <c r="U13" t="n">
        <v>27</v>
      </c>
      <c r="V1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3">
        <f>HYPERLINK("https://klasma.github.io/Logging_0136/artfynd/A 59567-2025 artfynd.xlsx", "A 59567-2025")</f>
        <v/>
      </c>
      <c r="X13">
        <f>HYPERLINK("https://klasma.github.io/Logging_0136/kartor/A 59567-2025 karta.png", "A 59567-2025")</f>
        <v/>
      </c>
      <c r="Y13">
        <f>HYPERLINK("https://klasma.github.io/Logging_0136/kartor_geotiff/A 59567-2025 georefererad karta.tif", "A 59567-2025")</f>
        <v/>
      </c>
      <c r="Z13">
        <f>HYPERLINK("https://klasma.github.io/Logging_0136/knärot/A 59567-2025 karta knärot.png", "A 59567-2025")</f>
        <v/>
      </c>
      <c r="AA13">
        <f>HYPERLINK("https://klasma.github.io/Logging_0136/klagomål/A 59567-2025 FSC-klagomål.docx", "A 59567-2025")</f>
        <v/>
      </c>
      <c r="AB13">
        <f>HYPERLINK("https://klasma.github.io/Logging_0136/klagomålsmail/A 59567-2025 FSC-klagomål mail.docx", "A 59567-2025")</f>
        <v/>
      </c>
      <c r="AC13">
        <f>HYPERLINK("https://klasma.github.io/Logging_0136/tillsyn/A 59567-2025 tillsynsbegäran.docx", "A 59567-2025")</f>
        <v/>
      </c>
      <c r="AD13">
        <f>HYPERLINK("https://klasma.github.io/Logging_0136/tillsynsmail/A 59567-2025 tillsynsbegäran mail.docx", "A 59567-2025")</f>
        <v/>
      </c>
      <c r="AE13">
        <f>HYPERLINK("https://klasma.github.io/Logging_0136/fåglar/A 59567-2025 prioriterade fågelarter.docx", "A 59567-2025")</f>
        <v/>
      </c>
    </row>
    <row r="14" ht="15" customHeight="1">
      <c r="A14" t="inlineStr">
        <is>
          <t>A 17454-2026</t>
        </is>
      </c>
      <c r="B14" t="inlineStr">
        <is>
          <t>avverkningsanmälan</t>
        </is>
      </c>
      <c r="C14" t="inlineStr">
        <is>
          <t>Föryngringsavverkning</t>
        </is>
      </c>
      <c r="D14" s="1" t="n">
        <v>46120</v>
      </c>
      <c r="E14" s="1" t="n">
        <v>46288</v>
      </c>
      <c r="F14" t="inlineStr">
        <is>
          <t>STOCKHOLMS LÄN</t>
        </is>
      </c>
      <c r="G14" t="inlineStr">
        <is>
          <t>HANINGE</t>
        </is>
      </c>
      <c r="I14" t="n">
        <v>31.4</v>
      </c>
      <c r="J14" t="n">
        <v>5</v>
      </c>
      <c r="K14" t="n">
        <v>11</v>
      </c>
      <c r="L14" t="n">
        <v>2</v>
      </c>
      <c r="M14" t="n">
        <v>1</v>
      </c>
      <c r="N14" t="n">
        <v>0</v>
      </c>
      <c r="O14" t="n">
        <v>0</v>
      </c>
      <c r="P14" t="n">
        <v>0</v>
      </c>
      <c r="Q14" t="n">
        <v>3</v>
      </c>
      <c r="R14" t="n">
        <v>1</v>
      </c>
      <c r="S14" t="n">
        <v>19</v>
      </c>
      <c r="T14" t="n">
        <v>32</v>
      </c>
      <c r="U14" t="n">
        <v>24</v>
      </c>
      <c r="V1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4">
        <f>HYPERLINK("https://klasma.github.io/Logging_0136/artfynd/A 17454-2026 artfynd.xlsx", "A 17454-2026")</f>
        <v/>
      </c>
      <c r="X14">
        <f>HYPERLINK("https://klasma.github.io/Logging_0136/kartor/A 17454-2026 karta.png", "A 17454-2026")</f>
        <v/>
      </c>
      <c r="Y14">
        <f>HYPERLINK("https://klasma.github.io/Logging_0136/kartor_geotiff/A 17454-2026 georefererad karta.tif", "A 17454-2026")</f>
        <v/>
      </c>
      <c r="Z14">
        <f>HYPERLINK("https://klasma.github.io/Logging_0136/knärot/A 17454-2026 karta knärot.png", "A 17454-2026")</f>
        <v/>
      </c>
      <c r="AA14">
        <f>HYPERLINK("https://klasma.github.io/Logging_0136/klagomål/A 17454-2026 FSC-klagomål.docx", "A 17454-2026")</f>
        <v/>
      </c>
      <c r="AB14">
        <f>HYPERLINK("https://klasma.github.io/Logging_0136/klagomålsmail/A 17454-2026 FSC-klagomål mail.docx", "A 17454-2026")</f>
        <v/>
      </c>
      <c r="AC14">
        <f>HYPERLINK("https://klasma.github.io/Logging_0136/tillsyn/A 17454-2026 tillsynsbegäran.docx", "A 17454-2026")</f>
        <v/>
      </c>
      <c r="AD14">
        <f>HYPERLINK("https://klasma.github.io/Logging_0136/tillsynsmail/A 17454-2026 tillsynsbegäran mail.docx", "A 17454-2026")</f>
        <v/>
      </c>
      <c r="AE14">
        <f>HYPERLINK("https://klasma.github.io/Logging_0136/fåglar/A 17454-2026 prioriterade fågelarter.docx", "A 17454-2026")</f>
        <v/>
      </c>
    </row>
    <row r="15" ht="15" customHeight="1">
      <c r="A15" t="inlineStr">
        <is>
          <t>A 3155-2025</t>
        </is>
      </c>
      <c r="B15" t="inlineStr">
        <is>
          <t>avverkningsanmälan</t>
        </is>
      </c>
      <c r="C15" t="inlineStr">
        <is>
          <t>Föryngringsavverkning</t>
        </is>
      </c>
      <c r="D15" s="1" t="n">
        <v>45679</v>
      </c>
      <c r="E15" s="1" t="n">
        <v>46288</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46288</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46288</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46288</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46288</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46288</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46288</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46288</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46288</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46288</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46288</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46288</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46288</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6648-2023</t>
        </is>
      </c>
      <c r="B28" t="inlineStr">
        <is>
          <t>avverkningsanmälan</t>
        </is>
      </c>
      <c r="C28" t="inlineStr">
        <is>
          <t>Föryngringsavverkning</t>
        </is>
      </c>
      <c r="D28" s="1" t="n">
        <v>44966</v>
      </c>
      <c r="E28" s="1" t="n">
        <v>46288</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46288</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46288</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46288</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46288</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45501-2022</t>
        </is>
      </c>
      <c r="B33" t="inlineStr">
        <is>
          <t>avverkningsanmälan</t>
        </is>
      </c>
      <c r="C33" t="inlineStr">
        <is>
          <t>Föryngringsavverkning</t>
        </is>
      </c>
      <c r="D33" s="1" t="n">
        <v>44845</v>
      </c>
      <c r="E33" s="1" t="n">
        <v>46288</v>
      </c>
      <c r="F33" t="inlineStr">
        <is>
          <t>STOCKHOLMS LÄN</t>
        </is>
      </c>
      <c r="G33" t="inlineStr">
        <is>
          <t>HANINGE</t>
        </is>
      </c>
      <c r="I33" t="n">
        <v>2.7</v>
      </c>
      <c r="J33" t="n">
        <v>0</v>
      </c>
      <c r="K33" t="n">
        <v>0</v>
      </c>
      <c r="L33" t="n">
        <v>0</v>
      </c>
      <c r="M33" t="n">
        <v>0</v>
      </c>
      <c r="N33" t="n">
        <v>0</v>
      </c>
      <c r="O33" t="n">
        <v>0</v>
      </c>
      <c r="P33" t="n">
        <v>0</v>
      </c>
      <c r="Q33" t="n">
        <v>0</v>
      </c>
      <c r="R33" t="n">
        <v>0</v>
      </c>
      <c r="S33" t="n">
        <v>0</v>
      </c>
      <c r="T33" t="n">
        <v>0</v>
      </c>
      <c r="U33" t="n">
        <v>0</v>
      </c>
      <c r="V33" s="2" t="inlineStr"/>
    </row>
    <row r="34" ht="15" customHeight="1">
      <c r="A34" t="inlineStr">
        <is>
          <t>A 45498-2022</t>
        </is>
      </c>
      <c r="B34" t="inlineStr">
        <is>
          <t>avverkningsanmälan</t>
        </is>
      </c>
      <c r="C34" t="inlineStr">
        <is>
          <t>Föryngringsavverkning</t>
        </is>
      </c>
      <c r="D34" s="1" t="n">
        <v>44845</v>
      </c>
      <c r="E34" s="1" t="n">
        <v>46288</v>
      </c>
      <c r="F34" t="inlineStr">
        <is>
          <t>STOCKHOLMS LÄN</t>
        </is>
      </c>
      <c r="G34" t="inlineStr">
        <is>
          <t>HANINGE</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55853-2021</t>
        </is>
      </c>
      <c r="B35" t="inlineStr">
        <is>
          <t>avverkningsanmälan</t>
        </is>
      </c>
      <c r="C35" t="inlineStr">
        <is>
          <t>Föryngringsavverkning</t>
        </is>
      </c>
      <c r="D35" s="1" t="n">
        <v>44476</v>
      </c>
      <c r="E35" s="1" t="n">
        <v>46288</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19652-2022</t>
        </is>
      </c>
      <c r="B36" t="inlineStr">
        <is>
          <t>avverkningsanmälan</t>
        </is>
      </c>
      <c r="C36" t="inlineStr">
        <is>
          <t>Avverkning för annat ändamål</t>
        </is>
      </c>
      <c r="D36" s="1" t="n">
        <v>44694</v>
      </c>
      <c r="E36" s="1" t="n">
        <v>46288</v>
      </c>
      <c r="F36" t="inlineStr">
        <is>
          <t>STOCKHOLMS LÄN</t>
        </is>
      </c>
      <c r="G36" t="inlineStr">
        <is>
          <t>HANINGE</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55861-2021</t>
        </is>
      </c>
      <c r="B37" t="inlineStr">
        <is>
          <t>avverkningsanmälan</t>
        </is>
      </c>
      <c r="C37" t="inlineStr">
        <is>
          <t>Föryngringsavverkning</t>
        </is>
      </c>
      <c r="D37" s="1" t="n">
        <v>44476</v>
      </c>
      <c r="E37" s="1" t="n">
        <v>46288</v>
      </c>
      <c r="F37" t="inlineStr">
        <is>
          <t>STOCKHOLMS LÄN</t>
        </is>
      </c>
      <c r="G37" t="inlineStr">
        <is>
          <t>HANINGE</t>
        </is>
      </c>
      <c r="H37" t="inlineStr">
        <is>
          <t>Kommuner</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41266-2022</t>
        </is>
      </c>
      <c r="B38" t="inlineStr">
        <is>
          <t>avverkningsanmälan</t>
        </is>
      </c>
      <c r="C38" t="inlineStr">
        <is>
          <t>Föryngringsavverkning</t>
        </is>
      </c>
      <c r="D38" s="1" t="n">
        <v>44825</v>
      </c>
      <c r="E38" s="1" t="n">
        <v>46288</v>
      </c>
      <c r="F38" t="inlineStr">
        <is>
          <t>STOCKHOLMS LÄN</t>
        </is>
      </c>
      <c r="G38" t="inlineStr">
        <is>
          <t>HANINGE</t>
        </is>
      </c>
      <c r="H38" t="inlineStr">
        <is>
          <t>Övriga statliga verk och myndigheter</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13135-2022</t>
        </is>
      </c>
      <c r="B39" t="inlineStr">
        <is>
          <t>avverkningsanmälan</t>
        </is>
      </c>
      <c r="C39" t="inlineStr">
        <is>
          <t>Föryngringsavverkning</t>
        </is>
      </c>
      <c r="D39" s="1" t="n">
        <v>44643</v>
      </c>
      <c r="E39" s="1" t="n">
        <v>46288</v>
      </c>
      <c r="F39" t="inlineStr">
        <is>
          <t>STOCKHOLMS LÄN</t>
        </is>
      </c>
      <c r="G39" t="inlineStr">
        <is>
          <t>HANINGE</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30419-2022</t>
        </is>
      </c>
      <c r="B40" t="inlineStr">
        <is>
          <t>avverkningsanmälan</t>
        </is>
      </c>
      <c r="C40" t="inlineStr">
        <is>
          <t>Föryngringsavverkning</t>
        </is>
      </c>
      <c r="D40" s="1" t="n">
        <v>44761</v>
      </c>
      <c r="E40" s="1" t="n">
        <v>46288</v>
      </c>
      <c r="F40" t="inlineStr">
        <is>
          <t>STOCKHOLMS LÄN</t>
        </is>
      </c>
      <c r="G40" t="inlineStr">
        <is>
          <t>HANINGE</t>
        </is>
      </c>
      <c r="I40" t="n">
        <v>7.4</v>
      </c>
      <c r="J40" t="n">
        <v>0</v>
      </c>
      <c r="K40" t="n">
        <v>0</v>
      </c>
      <c r="L40" t="n">
        <v>0</v>
      </c>
      <c r="M40" t="n">
        <v>0</v>
      </c>
      <c r="N40" t="n">
        <v>0</v>
      </c>
      <c r="O40" t="n">
        <v>0</v>
      </c>
      <c r="P40" t="n">
        <v>0</v>
      </c>
      <c r="Q40" t="n">
        <v>0</v>
      </c>
      <c r="R40" t="n">
        <v>0</v>
      </c>
      <c r="S40" t="n">
        <v>0</v>
      </c>
      <c r="T40" t="n">
        <v>0</v>
      </c>
      <c r="U40" t="n">
        <v>0</v>
      </c>
      <c r="V40" s="2" t="inlineStr"/>
    </row>
    <row r="41" ht="15" customHeight="1">
      <c r="A41" t="inlineStr">
        <is>
          <t>A 37000-2022</t>
        </is>
      </c>
      <c r="B41" t="inlineStr">
        <is>
          <t>avverkningsanmälan</t>
        </is>
      </c>
      <c r="C41" t="inlineStr">
        <is>
          <t>Föryngringsavverkning</t>
        </is>
      </c>
      <c r="D41" s="1" t="n">
        <v>44806</v>
      </c>
      <c r="E41" s="1" t="n">
        <v>46288</v>
      </c>
      <c r="F41" t="inlineStr">
        <is>
          <t>STOCKHOLMS LÄN</t>
        </is>
      </c>
      <c r="G41" t="inlineStr">
        <is>
          <t>HANINGE</t>
        </is>
      </c>
      <c r="H41" t="inlineStr">
        <is>
          <t>Övriga statliga verk och myndigheter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9946-2024</t>
        </is>
      </c>
      <c r="B42" t="inlineStr">
        <is>
          <t>avverkningsanmälan</t>
        </is>
      </c>
      <c r="C42" t="inlineStr">
        <is>
          <t>Föryngringsavverkning</t>
        </is>
      </c>
      <c r="D42" s="1" t="n">
        <v>45363</v>
      </c>
      <c r="E42" s="1" t="n">
        <v>46288</v>
      </c>
      <c r="F42" t="inlineStr">
        <is>
          <t>STOCKHOLMS LÄN</t>
        </is>
      </c>
      <c r="G42" t="inlineStr">
        <is>
          <t>HANINGE</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46288</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13046-2022</t>
        </is>
      </c>
      <c r="B44" t="inlineStr">
        <is>
          <t>avverkningsanmälan</t>
        </is>
      </c>
      <c r="C44" t="inlineStr">
        <is>
          <t>Föryngringsavverkning</t>
        </is>
      </c>
      <c r="D44" s="1" t="n">
        <v>44643</v>
      </c>
      <c r="E44" s="1" t="n">
        <v>46288</v>
      </c>
      <c r="F44" t="inlineStr">
        <is>
          <t>STOCKHOLMS LÄN</t>
        </is>
      </c>
      <c r="G44" t="inlineStr">
        <is>
          <t>HANINGE</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50306-2023</t>
        </is>
      </c>
      <c r="B45" t="inlineStr">
        <is>
          <t>avverkningsanmälan</t>
        </is>
      </c>
      <c r="C45" t="inlineStr">
        <is>
          <t>Föryngringsavverkning</t>
        </is>
      </c>
      <c r="D45" s="1" t="n">
        <v>45209</v>
      </c>
      <c r="E45" s="1" t="n">
        <v>46288</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c r="Z45">
        <f>HYPERLINK("https://klasma.github.io/Logging_0136/knärot/A 50306-2023 karta knärot.png", "A 50306-2023")</f>
        <v/>
      </c>
      <c r="AA45">
        <f>HYPERLINK("https://klasma.github.io/Logging_0136/klagomål/A 50306-2023 FSC-klagomål.docx", "A 50306-2023")</f>
        <v/>
      </c>
      <c r="AB45">
        <f>HYPERLINK("https://klasma.github.io/Logging_0136/klagomålsmail/A 50306-2023 FSC-klagomål mail.docx", "A 50306-2023")</f>
        <v/>
      </c>
      <c r="AC45">
        <f>HYPERLINK("https://klasma.github.io/Logging_0136/tillsyn/A 50306-2023 tillsynsbegäran.docx", "A 50306-2023")</f>
        <v/>
      </c>
      <c r="AD45">
        <f>HYPERLINK("https://klasma.github.io/Logging_0136/tillsynsmail/A 50306-2023 tillsynsbegäran mail.docx", "A 50306-2023")</f>
        <v/>
      </c>
    </row>
    <row r="46" ht="15" customHeight="1">
      <c r="A46" t="inlineStr">
        <is>
          <t>A 22288-2023</t>
        </is>
      </c>
      <c r="B46" t="inlineStr">
        <is>
          <t>avverkningsanmälan</t>
        </is>
      </c>
      <c r="C46" t="inlineStr">
        <is>
          <t>Föryngringsavverkning</t>
        </is>
      </c>
      <c r="D46" s="1" t="n">
        <v>45070</v>
      </c>
      <c r="E46" s="1" t="n">
        <v>46288</v>
      </c>
      <c r="F46" t="inlineStr">
        <is>
          <t>STOCKHOLMS LÄN</t>
        </is>
      </c>
      <c r="G46" t="inlineStr">
        <is>
          <t>HANINGE</t>
        </is>
      </c>
      <c r="I46" t="n">
        <v>2.8</v>
      </c>
      <c r="J46" t="n">
        <v>0</v>
      </c>
      <c r="K46" t="n">
        <v>0</v>
      </c>
      <c r="L46" t="n">
        <v>0</v>
      </c>
      <c r="M46" t="n">
        <v>0</v>
      </c>
      <c r="N46" t="n">
        <v>0</v>
      </c>
      <c r="O46" t="n">
        <v>0</v>
      </c>
      <c r="P46" t="n">
        <v>0</v>
      </c>
      <c r="Q46" t="n">
        <v>0</v>
      </c>
      <c r="R46" t="n">
        <v>0</v>
      </c>
      <c r="S46" t="n">
        <v>0</v>
      </c>
      <c r="T46" t="n">
        <v>0</v>
      </c>
      <c r="U46" t="n">
        <v>0</v>
      </c>
      <c r="V46" s="2" t="inlineStr"/>
    </row>
    <row r="47" ht="15" customHeight="1">
      <c r="A47" t="inlineStr">
        <is>
          <t>A 18512-2024</t>
        </is>
      </c>
      <c r="B47" t="inlineStr">
        <is>
          <t>avverkningsanmälan</t>
        </is>
      </c>
      <c r="C47" t="inlineStr">
        <is>
          <t>Föryngringsavverkning</t>
        </is>
      </c>
      <c r="D47" s="1" t="n">
        <v>45425</v>
      </c>
      <c r="E47" s="1" t="n">
        <v>46288</v>
      </c>
      <c r="F47" t="inlineStr">
        <is>
          <t>STOCKHOLMS LÄN</t>
        </is>
      </c>
      <c r="G47" t="inlineStr">
        <is>
          <t>HANINGE</t>
        </is>
      </c>
      <c r="H47" t="inlineStr">
        <is>
          <t>Kommuner</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32948-2025</t>
        </is>
      </c>
      <c r="B48" t="inlineStr">
        <is>
          <t>avverkningsanmälan</t>
        </is>
      </c>
      <c r="C48" t="inlineStr">
        <is>
          <t>Föryngringsavverkning</t>
        </is>
      </c>
      <c r="D48" s="1" t="n">
        <v>45839</v>
      </c>
      <c r="E48" s="1" t="n">
        <v>46288</v>
      </c>
      <c r="F48" t="inlineStr">
        <is>
          <t>STOCKHOLMS LÄN</t>
        </is>
      </c>
      <c r="G48" t="inlineStr">
        <is>
          <t>HANINGE</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48606-2025</t>
        </is>
      </c>
      <c r="B49" t="inlineStr">
        <is>
          <t>avverkningsanmälan</t>
        </is>
      </c>
      <c r="C49" t="inlineStr">
        <is>
          <t>Föryngringsavverkning</t>
        </is>
      </c>
      <c r="D49" s="1" t="n">
        <v>45936</v>
      </c>
      <c r="E49" s="1" t="n">
        <v>46288</v>
      </c>
      <c r="F49" t="inlineStr">
        <is>
          <t>STOCKHOLMS LÄN</t>
        </is>
      </c>
      <c r="G49" t="inlineStr">
        <is>
          <t>HANINGE</t>
        </is>
      </c>
      <c r="I49" t="n">
        <v>6.9</v>
      </c>
      <c r="J49" t="n">
        <v>0</v>
      </c>
      <c r="K49" t="n">
        <v>0</v>
      </c>
      <c r="L49" t="n">
        <v>0</v>
      </c>
      <c r="M49" t="n">
        <v>0</v>
      </c>
      <c r="N49" t="n">
        <v>0</v>
      </c>
      <c r="O49" t="n">
        <v>0</v>
      </c>
      <c r="P49" t="n">
        <v>0</v>
      </c>
      <c r="Q49" t="n">
        <v>0</v>
      </c>
      <c r="R49" t="n">
        <v>0</v>
      </c>
      <c r="S49" t="n">
        <v>0</v>
      </c>
      <c r="T49" t="n">
        <v>0</v>
      </c>
      <c r="U49" t="n">
        <v>0</v>
      </c>
      <c r="V49" s="2" t="inlineStr"/>
    </row>
    <row r="50" ht="15" customHeight="1">
      <c r="A50" t="inlineStr">
        <is>
          <t>A 52770-2024</t>
        </is>
      </c>
      <c r="B50" t="inlineStr">
        <is>
          <t>avverkningsanmälan</t>
        </is>
      </c>
      <c r="C50" t="inlineStr">
        <is>
          <t>Föryngringsavverkning</t>
        </is>
      </c>
      <c r="D50" s="1" t="n">
        <v>45610</v>
      </c>
      <c r="E50" s="1" t="n">
        <v>46288</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18528-2024</t>
        </is>
      </c>
      <c r="B51" t="inlineStr">
        <is>
          <t>avverkningsanmälan</t>
        </is>
      </c>
      <c r="C51" t="inlineStr">
        <is>
          <t>Föryngringsavverkning</t>
        </is>
      </c>
      <c r="D51" s="1" t="n">
        <v>45425</v>
      </c>
      <c r="E51" s="1" t="n">
        <v>46288</v>
      </c>
      <c r="F51" t="inlineStr">
        <is>
          <t>STOCKHOLMS LÄN</t>
        </is>
      </c>
      <c r="G51" t="inlineStr">
        <is>
          <t>HANINGE</t>
        </is>
      </c>
      <c r="H51" t="inlineStr">
        <is>
          <t>Kommuner</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18490-2025</t>
        </is>
      </c>
      <c r="B52" t="inlineStr">
        <is>
          <t>avverkningsanmälan</t>
        </is>
      </c>
      <c r="C52" t="inlineStr">
        <is>
          <t>Föryngringsavverkning</t>
        </is>
      </c>
      <c r="D52" s="1" t="n">
        <v>45763</v>
      </c>
      <c r="E52" s="1" t="n">
        <v>46288</v>
      </c>
      <c r="F52" t="inlineStr">
        <is>
          <t>STOCKHOLMS LÄN</t>
        </is>
      </c>
      <c r="G52" t="inlineStr">
        <is>
          <t>HANINGE</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18548-2024</t>
        </is>
      </c>
      <c r="B53" t="inlineStr">
        <is>
          <t>avverkningsanmälan</t>
        </is>
      </c>
      <c r="C53" t="inlineStr">
        <is>
          <t>Föryngringsavverkning</t>
        </is>
      </c>
      <c r="D53" s="1" t="n">
        <v>45425</v>
      </c>
      <c r="E53" s="1" t="n">
        <v>46288</v>
      </c>
      <c r="F53" t="inlineStr">
        <is>
          <t>STOCKHOLMS LÄN</t>
        </is>
      </c>
      <c r="G53" t="inlineStr">
        <is>
          <t>HANINGE</t>
        </is>
      </c>
      <c r="H53" t="inlineStr">
        <is>
          <t>Kommuner</t>
        </is>
      </c>
      <c r="I53" t="n">
        <v>7.3</v>
      </c>
      <c r="J53" t="n">
        <v>0</v>
      </c>
      <c r="K53" t="n">
        <v>0</v>
      </c>
      <c r="L53" t="n">
        <v>0</v>
      </c>
      <c r="M53" t="n">
        <v>0</v>
      </c>
      <c r="N53" t="n">
        <v>0</v>
      </c>
      <c r="O53" t="n">
        <v>0</v>
      </c>
      <c r="P53" t="n">
        <v>0</v>
      </c>
      <c r="Q53" t="n">
        <v>0</v>
      </c>
      <c r="R53" t="n">
        <v>0</v>
      </c>
      <c r="S53" t="n">
        <v>0</v>
      </c>
      <c r="T53" t="n">
        <v>0</v>
      </c>
      <c r="U53" t="n">
        <v>0</v>
      </c>
      <c r="V53" s="2" t="inlineStr"/>
    </row>
    <row r="54" ht="15" customHeight="1">
      <c r="A54" t="inlineStr">
        <is>
          <t>A 59569-2025</t>
        </is>
      </c>
      <c r="B54" t="inlineStr">
        <is>
          <t>avverkningsanmälan</t>
        </is>
      </c>
      <c r="C54" t="inlineStr">
        <is>
          <t>Föryngringsavverkning</t>
        </is>
      </c>
      <c r="D54" s="1" t="n">
        <v>45991</v>
      </c>
      <c r="E54" s="1" t="n">
        <v>46288</v>
      </c>
      <c r="F54" t="inlineStr">
        <is>
          <t>STOCKHOLMS LÄN</t>
        </is>
      </c>
      <c r="G54" t="inlineStr">
        <is>
          <t>HANINGE</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20839-2024</t>
        </is>
      </c>
      <c r="B55" t="inlineStr">
        <is>
          <t>avverkningsanmälan</t>
        </is>
      </c>
      <c r="C55" t="inlineStr">
        <is>
          <t>Föryngringsavverkning</t>
        </is>
      </c>
      <c r="D55" s="1" t="n">
        <v>45439</v>
      </c>
      <c r="E55" s="1" t="n">
        <v>46288</v>
      </c>
      <c r="F55" t="inlineStr">
        <is>
          <t>STOCKHOLMS LÄN</t>
        </is>
      </c>
      <c r="G55" t="inlineStr">
        <is>
          <t>HANINGE</t>
        </is>
      </c>
      <c r="I55" t="n">
        <v>8.4</v>
      </c>
      <c r="J55" t="n">
        <v>0</v>
      </c>
      <c r="K55" t="n">
        <v>0</v>
      </c>
      <c r="L55" t="n">
        <v>0</v>
      </c>
      <c r="M55" t="n">
        <v>0</v>
      </c>
      <c r="N55" t="n">
        <v>0</v>
      </c>
      <c r="O55" t="n">
        <v>0</v>
      </c>
      <c r="P55" t="n">
        <v>0</v>
      </c>
      <c r="Q55" t="n">
        <v>0</v>
      </c>
      <c r="R55" t="n">
        <v>0</v>
      </c>
      <c r="S55" t="n">
        <v>0</v>
      </c>
      <c r="T55" t="n">
        <v>0</v>
      </c>
      <c r="U55" t="n">
        <v>0</v>
      </c>
      <c r="V55" s="2" t="inlineStr"/>
    </row>
    <row r="56" ht="15" customHeight="1">
      <c r="A56" t="inlineStr">
        <is>
          <t>A 24800-2026</t>
        </is>
      </c>
      <c r="B56" t="inlineStr">
        <is>
          <t>avverkningsanmälan</t>
        </is>
      </c>
      <c r="C56" t="inlineStr">
        <is>
          <t>Föryngringsavverkning</t>
        </is>
      </c>
      <c r="D56" s="1" t="n">
        <v>46171</v>
      </c>
      <c r="E56" s="1" t="n">
        <v>46288</v>
      </c>
      <c r="F56" t="inlineStr">
        <is>
          <t>STOCKHOLMS LÄN</t>
        </is>
      </c>
      <c r="G56" t="inlineStr">
        <is>
          <t>HANINGE</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5474-2024</t>
        </is>
      </c>
      <c r="B57" t="inlineStr">
        <is>
          <t>avverkningsanmälan</t>
        </is>
      </c>
      <c r="C57" t="inlineStr">
        <is>
          <t>Föryngringsavverkning</t>
        </is>
      </c>
      <c r="D57" s="1" t="n">
        <v>45333</v>
      </c>
      <c r="E57" s="1" t="n">
        <v>46288</v>
      </c>
      <c r="F57" t="inlineStr">
        <is>
          <t>STOCKHOLMS LÄN</t>
        </is>
      </c>
      <c r="G57" t="inlineStr">
        <is>
          <t>HANINGE</t>
        </is>
      </c>
      <c r="H57" t="inlineStr">
        <is>
          <t>Kommuner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23666-2024</t>
        </is>
      </c>
      <c r="B58" t="inlineStr">
        <is>
          <t>avverkningsanmälan</t>
        </is>
      </c>
      <c r="C58" t="inlineStr">
        <is>
          <t>Föryngringsavverkning</t>
        </is>
      </c>
      <c r="D58" s="1" t="n">
        <v>45454</v>
      </c>
      <c r="E58" s="1" t="n">
        <v>46288</v>
      </c>
      <c r="F58" t="inlineStr">
        <is>
          <t>STOCKHOLMS LÄN</t>
        </is>
      </c>
      <c r="G58" t="inlineStr">
        <is>
          <t>HANINGE</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68896-2021</t>
        </is>
      </c>
      <c r="B59" t="inlineStr">
        <is>
          <t>avverkningsanmälan</t>
        </is>
      </c>
      <c r="C59" t="inlineStr">
        <is>
          <t>Föryngringsavverkning</t>
        </is>
      </c>
      <c r="D59" s="1" t="n">
        <v>44526</v>
      </c>
      <c r="E59" s="1" t="n">
        <v>46288</v>
      </c>
      <c r="F59" t="inlineStr">
        <is>
          <t>STOCKHOLMS LÄN</t>
        </is>
      </c>
      <c r="G59" t="inlineStr">
        <is>
          <t>HANINGE</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26417-2026</t>
        </is>
      </c>
      <c r="B60" t="inlineStr">
        <is>
          <t>avverkningsanmälan</t>
        </is>
      </c>
      <c r="C60" t="inlineStr">
        <is>
          <t>Föryngringsavverkning</t>
        </is>
      </c>
      <c r="D60" s="1" t="n">
        <v>46183</v>
      </c>
      <c r="E60" s="1" t="n">
        <v>46288</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26886-2026</t>
        </is>
      </c>
      <c r="B61" t="inlineStr">
        <is>
          <t>avverkningsanmälan</t>
        </is>
      </c>
      <c r="C61" t="inlineStr">
        <is>
          <t>Avverkning för annat ändamål</t>
        </is>
      </c>
      <c r="D61" s="1" t="n">
        <v>46185</v>
      </c>
      <c r="E61" s="1" t="n">
        <v>46288</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33792-2023</t>
        </is>
      </c>
      <c r="B62" t="inlineStr">
        <is>
          <t>avverkningsanmälan</t>
        </is>
      </c>
      <c r="C62" t="inlineStr">
        <is>
          <t>Föryngringsavverkning</t>
        </is>
      </c>
      <c r="D62" s="1" t="n">
        <v>45121</v>
      </c>
      <c r="E62" s="1" t="n">
        <v>46288</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14900-2025</t>
        </is>
      </c>
      <c r="B63" t="inlineStr">
        <is>
          <t>avverkningsanmälan</t>
        </is>
      </c>
      <c r="C63" t="inlineStr">
        <is>
          <t>Föryngringsavverkning</t>
        </is>
      </c>
      <c r="D63" s="1" t="n">
        <v>45743</v>
      </c>
      <c r="E63" s="1" t="n">
        <v>46288</v>
      </c>
      <c r="F63" t="inlineStr">
        <is>
          <t>STOCKHOLMS LÄN</t>
        </is>
      </c>
      <c r="G63" t="inlineStr">
        <is>
          <t>HANINGE</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20527-2025</t>
        </is>
      </c>
      <c r="B64" t="inlineStr">
        <is>
          <t>avverkningsanmälan</t>
        </is>
      </c>
      <c r="C64" t="inlineStr">
        <is>
          <t>Föryngringsavverkning</t>
        </is>
      </c>
      <c r="D64" s="1" t="n">
        <v>45775</v>
      </c>
      <c r="E64" s="1" t="n">
        <v>46288</v>
      </c>
      <c r="F64" t="inlineStr">
        <is>
          <t>STOCKHOLMS LÄN</t>
        </is>
      </c>
      <c r="G64" t="inlineStr">
        <is>
          <t>HANINGE</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64568-2023</t>
        </is>
      </c>
      <c r="B65" t="inlineStr">
        <is>
          <t>avverkningsanmälan</t>
        </is>
      </c>
      <c r="C65" t="inlineStr">
        <is>
          <t>Föryngringsavverkning</t>
        </is>
      </c>
      <c r="D65" s="1" t="n">
        <v>45281</v>
      </c>
      <c r="E65" s="1" t="n">
        <v>46288</v>
      </c>
      <c r="F65" t="inlineStr">
        <is>
          <t>STOCKHOLMS LÄN</t>
        </is>
      </c>
      <c r="G65" t="inlineStr">
        <is>
          <t>HANINGE</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1180-2024</t>
        </is>
      </c>
      <c r="B66" t="inlineStr">
        <is>
          <t>avverkningsanmälan</t>
        </is>
      </c>
      <c r="C66" t="inlineStr">
        <is>
          <t>Föryngringsavverkning</t>
        </is>
      </c>
      <c r="D66" s="1" t="n">
        <v>45302</v>
      </c>
      <c r="E66" s="1" t="n">
        <v>46288</v>
      </c>
      <c r="F66" t="inlineStr">
        <is>
          <t>STOCKHOLMS LÄN</t>
        </is>
      </c>
      <c r="G66" t="inlineStr">
        <is>
          <t>HANINGE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24873-2023</t>
        </is>
      </c>
      <c r="B67" t="inlineStr">
        <is>
          <t>avverkningsanmälan</t>
        </is>
      </c>
      <c r="C67" t="inlineStr">
        <is>
          <t>Föryngringsavverkning</t>
        </is>
      </c>
      <c r="D67" s="1" t="n">
        <v>45085</v>
      </c>
      <c r="E67" s="1" t="n">
        <v>46288</v>
      </c>
      <c r="F67" t="inlineStr">
        <is>
          <t>STOCKHOLMS LÄN</t>
        </is>
      </c>
      <c r="G67" t="inlineStr">
        <is>
          <t>HANINGE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12787-2026</t>
        </is>
      </c>
      <c r="B68" t="inlineStr">
        <is>
          <t>avverkningsanmälan</t>
        </is>
      </c>
      <c r="C68" t="inlineStr">
        <is>
          <t>Föryngringsavverkning</t>
        </is>
      </c>
      <c r="D68" s="1" t="n">
        <v>46091</v>
      </c>
      <c r="E68" s="1" t="n">
        <v>46288</v>
      </c>
      <c r="F68" t="inlineStr">
        <is>
          <t>STOCKHOLMS LÄN</t>
        </is>
      </c>
      <c r="G68" t="inlineStr">
        <is>
          <t>HANINGE</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58599-2023</t>
        </is>
      </c>
      <c r="B69" t="inlineStr">
        <is>
          <t>avverkningsanmälan</t>
        </is>
      </c>
      <c r="C69" t="inlineStr">
        <is>
          <t>Föryngringsavverkning</t>
        </is>
      </c>
      <c r="D69" s="1" t="n">
        <v>45251</v>
      </c>
      <c r="E69" s="1" t="n">
        <v>46288</v>
      </c>
      <c r="F69" t="inlineStr">
        <is>
          <t>STOCKHOLMS LÄN</t>
        </is>
      </c>
      <c r="G69" t="inlineStr">
        <is>
          <t>HANINGE</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52836-2024</t>
        </is>
      </c>
      <c r="B70" t="inlineStr">
        <is>
          <t>avverkningsanmälan</t>
        </is>
      </c>
      <c r="C70" t="inlineStr">
        <is>
          <t>Föryngringsavverkning</t>
        </is>
      </c>
      <c r="D70" s="1" t="n">
        <v>45610</v>
      </c>
      <c r="E70" s="1" t="n">
        <v>46288</v>
      </c>
      <c r="F70" t="inlineStr">
        <is>
          <t>STOCKHOLMS LÄN</t>
        </is>
      </c>
      <c r="G70" t="inlineStr">
        <is>
          <t>HANINGE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8078-2024</t>
        </is>
      </c>
      <c r="B71" t="inlineStr">
        <is>
          <t>avverkningsanmälan</t>
        </is>
      </c>
      <c r="C71" t="inlineStr">
        <is>
          <t>Föryngringsavverkning</t>
        </is>
      </c>
      <c r="D71" s="1" t="n">
        <v>45351</v>
      </c>
      <c r="E71" s="1" t="n">
        <v>46288</v>
      </c>
      <c r="F71" t="inlineStr">
        <is>
          <t>STOCKHOLMS LÄN</t>
        </is>
      </c>
      <c r="G71" t="inlineStr">
        <is>
          <t>HANINGE</t>
        </is>
      </c>
      <c r="H71" t="inlineStr">
        <is>
          <t>Kommuner</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19220-2023</t>
        </is>
      </c>
      <c r="B72" t="inlineStr">
        <is>
          <t>avverkningsanmälan</t>
        </is>
      </c>
      <c r="C72" t="inlineStr">
        <is>
          <t>Föryngringsavverkning</t>
        </is>
      </c>
      <c r="D72" s="1" t="n">
        <v>45048</v>
      </c>
      <c r="E72" s="1" t="n">
        <v>46288</v>
      </c>
      <c r="F72" t="inlineStr">
        <is>
          <t>STOCKHOLMS LÄN</t>
        </is>
      </c>
      <c r="G72" t="inlineStr">
        <is>
          <t>HANINGE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25584-2023</t>
        </is>
      </c>
      <c r="B73" t="inlineStr">
        <is>
          <t>avverkningsanmälan</t>
        </is>
      </c>
      <c r="C73" t="inlineStr">
        <is>
          <t>Föryngringsavverkning</t>
        </is>
      </c>
      <c r="D73" s="1" t="n">
        <v>45089</v>
      </c>
      <c r="E73" s="1" t="n">
        <v>46288</v>
      </c>
      <c r="F73" t="inlineStr">
        <is>
          <t>STOCKHOLMS LÄN</t>
        </is>
      </c>
      <c r="G73" t="inlineStr">
        <is>
          <t>HANINGE</t>
        </is>
      </c>
      <c r="I73" t="n">
        <v>4.8</v>
      </c>
      <c r="J73" t="n">
        <v>0</v>
      </c>
      <c r="K73" t="n">
        <v>0</v>
      </c>
      <c r="L73" t="n">
        <v>0</v>
      </c>
      <c r="M73" t="n">
        <v>0</v>
      </c>
      <c r="N73" t="n">
        <v>0</v>
      </c>
      <c r="O73" t="n">
        <v>0</v>
      </c>
      <c r="P73" t="n">
        <v>0</v>
      </c>
      <c r="Q73" t="n">
        <v>0</v>
      </c>
      <c r="R73" t="n">
        <v>0</v>
      </c>
      <c r="S73" t="n">
        <v>0</v>
      </c>
      <c r="T73" t="n">
        <v>0</v>
      </c>
      <c r="U73" t="n">
        <v>0</v>
      </c>
      <c r="V73" s="2" t="inlineStr"/>
    </row>
    <row r="74" ht="15" customHeight="1">
      <c r="A74" t="inlineStr">
        <is>
          <t>A 3156-2025</t>
        </is>
      </c>
      <c r="B74" t="inlineStr">
        <is>
          <t>avverkningsanmälan</t>
        </is>
      </c>
      <c r="C74" t="inlineStr">
        <is>
          <t>Föryngringsavverkning</t>
        </is>
      </c>
      <c r="D74" s="1" t="n">
        <v>45679</v>
      </c>
      <c r="E74" s="1" t="n">
        <v>46288</v>
      </c>
      <c r="F74" t="inlineStr">
        <is>
          <t>STOCKHOLMS LÄN</t>
        </is>
      </c>
      <c r="G74" t="inlineStr">
        <is>
          <t>HANINGE</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17765-2024</t>
        </is>
      </c>
      <c r="B75" t="inlineStr">
        <is>
          <t>avverkningsanmälan</t>
        </is>
      </c>
      <c r="C75" t="inlineStr">
        <is>
          <t>Föryngringsavverkning</t>
        </is>
      </c>
      <c r="D75" s="1" t="n">
        <v>45418</v>
      </c>
      <c r="E75" s="1" t="n">
        <v>46288</v>
      </c>
      <c r="F75" t="inlineStr">
        <is>
          <t>STOCKHOLMS LÄN</t>
        </is>
      </c>
      <c r="G75" t="inlineStr">
        <is>
          <t>HANINGE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68894-2021</t>
        </is>
      </c>
      <c r="B76" t="inlineStr">
        <is>
          <t>avverkningsanmälan</t>
        </is>
      </c>
      <c r="C76" t="inlineStr">
        <is>
          <t>Föryngringsavverkning</t>
        </is>
      </c>
      <c r="D76" s="1" t="n">
        <v>44526</v>
      </c>
      <c r="E76" s="1" t="n">
        <v>46288</v>
      </c>
      <c r="F76" t="inlineStr">
        <is>
          <t>STOCKHOLMS LÄN</t>
        </is>
      </c>
      <c r="G76" t="inlineStr">
        <is>
          <t>HANINGE</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18491-2025</t>
        </is>
      </c>
      <c r="B77" t="inlineStr">
        <is>
          <t>avverkningsanmälan</t>
        </is>
      </c>
      <c r="C77" t="inlineStr">
        <is>
          <t>Föryngringsavverkning</t>
        </is>
      </c>
      <c r="D77" s="1" t="n">
        <v>45763</v>
      </c>
      <c r="E77" s="1" t="n">
        <v>46288</v>
      </c>
      <c r="F77" t="inlineStr">
        <is>
          <t>STOCKHOLMS LÄN</t>
        </is>
      </c>
      <c r="G77" t="inlineStr">
        <is>
          <t>HANINGE</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32486-2026</t>
        </is>
      </c>
      <c r="B78" t="inlineStr">
        <is>
          <t>avverkningsanmälan</t>
        </is>
      </c>
      <c r="C78" t="inlineStr">
        <is>
          <t>Föryngringsavverkning</t>
        </is>
      </c>
      <c r="D78" s="1" t="n">
        <v>46239</v>
      </c>
      <c r="E78" s="1" t="n">
        <v>46288</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24193-2025</t>
        </is>
      </c>
      <c r="B79" t="inlineStr">
        <is>
          <t>avverkningsanmälan</t>
        </is>
      </c>
      <c r="C79" t="inlineStr">
        <is>
          <t>Föryngringsavverkning</t>
        </is>
      </c>
      <c r="D79" s="1" t="n">
        <v>45796</v>
      </c>
      <c r="E79" s="1" t="n">
        <v>46288</v>
      </c>
      <c r="F79" t="inlineStr">
        <is>
          <t>STOCKHOLMS LÄN</t>
        </is>
      </c>
      <c r="G79" t="inlineStr">
        <is>
          <t>HANINGE</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64075-2023</t>
        </is>
      </c>
      <c r="B80" t="inlineStr">
        <is>
          <t>avverkningsanmälan</t>
        </is>
      </c>
      <c r="C80" t="inlineStr">
        <is>
          <t>Föryngringsavverkning</t>
        </is>
      </c>
      <c r="D80" s="1" t="n">
        <v>45279</v>
      </c>
      <c r="E80" s="1" t="n">
        <v>46288</v>
      </c>
      <c r="F80" t="inlineStr">
        <is>
          <t>STOCKHOLMS LÄN</t>
        </is>
      </c>
      <c r="G80" t="inlineStr">
        <is>
          <t>HANINGE</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27596-2025</t>
        </is>
      </c>
      <c r="B81" t="inlineStr">
        <is>
          <t>avverkningsanmälan</t>
        </is>
      </c>
      <c r="C81" t="inlineStr">
        <is>
          <t>Avverkning för att bevara och utveckla /försöksver</t>
        </is>
      </c>
      <c r="D81" s="1" t="n">
        <v>45813</v>
      </c>
      <c r="E81" s="1" t="n">
        <v>46288</v>
      </c>
      <c r="F81" t="inlineStr">
        <is>
          <t>STOCKHOLMS LÄN</t>
        </is>
      </c>
      <c r="G81" t="inlineStr">
        <is>
          <t>HANINGE</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14264-2025</t>
        </is>
      </c>
      <c r="B82" t="inlineStr">
        <is>
          <t>avverkningsanmälan</t>
        </is>
      </c>
      <c r="C82" t="inlineStr">
        <is>
          <t>Föryngringsavverkning</t>
        </is>
      </c>
      <c r="D82" s="1" t="n">
        <v>45740</v>
      </c>
      <c r="E82" s="1" t="n">
        <v>46288</v>
      </c>
      <c r="F82" t="inlineStr">
        <is>
          <t>STOCKHOLMS LÄN</t>
        </is>
      </c>
      <c r="G82" t="inlineStr">
        <is>
          <t>HANINGE</t>
        </is>
      </c>
      <c r="I82" t="n">
        <v>1</v>
      </c>
      <c r="J82" t="n">
        <v>0</v>
      </c>
      <c r="K82" t="n">
        <v>0</v>
      </c>
      <c r="L82" t="n">
        <v>0</v>
      </c>
      <c r="M82" t="n">
        <v>0</v>
      </c>
      <c r="N82" t="n">
        <v>0</v>
      </c>
      <c r="O82" t="n">
        <v>0</v>
      </c>
      <c r="P82" t="n">
        <v>0</v>
      </c>
      <c r="Q82" t="n">
        <v>0</v>
      </c>
      <c r="R82" t="n">
        <v>0</v>
      </c>
      <c r="S82" t="n">
        <v>0</v>
      </c>
      <c r="T82" t="n">
        <v>0</v>
      </c>
      <c r="U82" t="n">
        <v>0</v>
      </c>
      <c r="V82" s="2" t="inlineStr"/>
    </row>
    <row r="83">
      <c r="A83" t="inlineStr">
        <is>
          <t>S 1718-2026</t>
        </is>
      </c>
      <c r="B83" t="inlineStr">
        <is>
          <t>samrådsanmälan</t>
        </is>
      </c>
      <c r="C83" t="inlineStr">
        <is>
          <t>Annan skogsbruksåtgärd</t>
        </is>
      </c>
      <c r="D83" s="1" t="n">
        <v>46188</v>
      </c>
      <c r="E83" s="1" t="n">
        <v>46288</v>
      </c>
      <c r="F83" t="inlineStr">
        <is>
          <t>STOCKHOLMS LÄN</t>
        </is>
      </c>
      <c r="G83" t="inlineStr">
        <is>
          <t>HANINGE</t>
        </is>
      </c>
      <c r="I83" t="n">
        <v>1.9</v>
      </c>
      <c r="J83" t="n">
        <v>0</v>
      </c>
      <c r="K83" t="n">
        <v>0</v>
      </c>
      <c r="L83" t="n">
        <v>0</v>
      </c>
      <c r="M83" t="n">
        <v>0</v>
      </c>
      <c r="N83" t="n">
        <v>0</v>
      </c>
      <c r="O83" t="n">
        <v>0</v>
      </c>
      <c r="P83" t="n">
        <v>0</v>
      </c>
      <c r="Q83" t="n">
        <v>0</v>
      </c>
      <c r="R83" t="n">
        <v>0</v>
      </c>
      <c r="S83" t="n">
        <v>0</v>
      </c>
      <c r="T83" t="n">
        <v>0</v>
      </c>
      <c r="U83" t="n">
        <v>0</v>
      </c>
      <c r="V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2026-09-23T01:53:27Z</dcterms:created>
  <dcterms:modified xmlns:dcterms="http://purl.org/dc/terms/" xmlns:xsi="http://www.w3.org/2001/XMLSchema-instance" xsi:type="dcterms:W3CDTF">2026-09-23T01:53:27Z</dcterms:modified>
</cp:coreProperties>
</file>