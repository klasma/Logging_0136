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46004</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46004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46004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46004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46004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46004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46004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46004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46004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46004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59567-2025</t>
        </is>
      </c>
      <c r="B12" s="1" t="n">
        <v>45991.89914351852</v>
      </c>
      <c r="C12" s="1" t="n">
        <v>46004</v>
      </c>
      <c r="D12" t="inlineStr">
        <is>
          <t>STOCKHOLMS LÄN</t>
        </is>
      </c>
      <c r="E12" t="inlineStr">
        <is>
          <t>HANINGE</t>
        </is>
      </c>
      <c r="G12" t="n">
        <v>6.6</v>
      </c>
      <c r="H12" t="n">
        <v>1</v>
      </c>
      <c r="I12" t="n">
        <v>2</v>
      </c>
      <c r="J12" t="n">
        <v>4</v>
      </c>
      <c r="K12" t="n">
        <v>0</v>
      </c>
      <c r="L12" t="n">
        <v>0</v>
      </c>
      <c r="M12" t="n">
        <v>0</v>
      </c>
      <c r="N12" t="n">
        <v>0</v>
      </c>
      <c r="O12" t="n">
        <v>4</v>
      </c>
      <c r="P12" t="n">
        <v>0</v>
      </c>
      <c r="Q12" t="n">
        <v>6</v>
      </c>
      <c r="R12" s="2" t="inlineStr">
        <is>
          <t>Spillkråka
Tallticka
Ullticka
Vintertagging
Brandticka
Grovticka</t>
        </is>
      </c>
      <c r="S12">
        <f>HYPERLINK("https://klasma.github.io/Logging_0136/artfynd/A 59567-2025 artfynd.xlsx", "A 59567-2025")</f>
        <v/>
      </c>
      <c r="T12">
        <f>HYPERLINK("https://klasma.github.io/Logging_0136/kartor/A 59567-2025 karta.png", "A 59567-2025")</f>
        <v/>
      </c>
      <c r="V12">
        <f>HYPERLINK("https://klasma.github.io/Logging_0136/klagomål/A 59567-2025 FSC-klagomål.docx", "A 59567-2025")</f>
        <v/>
      </c>
      <c r="W12">
        <f>HYPERLINK("https://klasma.github.io/Logging_0136/klagomålsmail/A 59567-2025 FSC-klagomål mail.docx", "A 59567-2025")</f>
        <v/>
      </c>
      <c r="X12">
        <f>HYPERLINK("https://klasma.github.io/Logging_0136/tillsyn/A 59567-2025 tillsynsbegäran.docx", "A 59567-2025")</f>
        <v/>
      </c>
      <c r="Y12">
        <f>HYPERLINK("https://klasma.github.io/Logging_0136/tillsynsmail/A 59567-2025 tillsynsbegäran mail.docx", "A 59567-2025")</f>
        <v/>
      </c>
      <c r="Z12">
        <f>HYPERLINK("https://klasma.github.io/Logging_0136/fåglar/A 59567-2025 prioriterade fågelarter.docx", "A 59567-2025")</f>
        <v/>
      </c>
    </row>
    <row r="13" ht="15" customHeight="1">
      <c r="A13" t="inlineStr">
        <is>
          <t>A 59566-2025</t>
        </is>
      </c>
      <c r="B13" s="1" t="n">
        <v>45991.89199074074</v>
      </c>
      <c r="C13" s="1" t="n">
        <v>46004</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46004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46004</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46004</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46004</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46004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46004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46004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46004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46004</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46004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46004</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46004</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46004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46004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46004</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46004</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46004</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46004</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46004</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46004</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46004</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46004</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46004</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46004</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46004</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46004</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46004</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46004</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46004</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46004</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46004</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46004</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41266-2022</t>
        </is>
      </c>
      <c r="B46" s="1" t="n">
        <v>44825</v>
      </c>
      <c r="C46" s="1" t="n">
        <v>46004</v>
      </c>
      <c r="D46" t="inlineStr">
        <is>
          <t>STOCKHOLMS LÄN</t>
        </is>
      </c>
      <c r="E46" t="inlineStr">
        <is>
          <t>HANINGE</t>
        </is>
      </c>
      <c r="F46" t="inlineStr">
        <is>
          <t>Övriga statliga verk och myndigheter</t>
        </is>
      </c>
      <c r="G46" t="n">
        <v>1.6</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46004</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38595-2021</t>
        </is>
      </c>
      <c r="B48" s="1" t="n">
        <v>44407</v>
      </c>
      <c r="C48" s="1" t="n">
        <v>46004</v>
      </c>
      <c r="D48" t="inlineStr">
        <is>
          <t>STOCKHOLMS LÄN</t>
        </is>
      </c>
      <c r="E48" t="inlineStr">
        <is>
          <t>HANINGE</t>
        </is>
      </c>
      <c r="G48" t="n">
        <v>1.1</v>
      </c>
      <c r="H48" t="n">
        <v>0</v>
      </c>
      <c r="I48" t="n">
        <v>0</v>
      </c>
      <c r="J48" t="n">
        <v>0</v>
      </c>
      <c r="K48" t="n">
        <v>0</v>
      </c>
      <c r="L48" t="n">
        <v>0</v>
      </c>
      <c r="M48" t="n">
        <v>0</v>
      </c>
      <c r="N48" t="n">
        <v>0</v>
      </c>
      <c r="O48" t="n">
        <v>0</v>
      </c>
      <c r="P48" t="n">
        <v>0</v>
      </c>
      <c r="Q48" t="n">
        <v>0</v>
      </c>
      <c r="R48" s="2" t="inlineStr"/>
    </row>
    <row r="49" ht="15" customHeight="1">
      <c r="A49" t="inlineStr">
        <is>
          <t>A 4297-2024</t>
        </is>
      </c>
      <c r="B49" s="1" t="n">
        <v>45324.62291666667</v>
      </c>
      <c r="C49" s="1" t="n">
        <v>46004</v>
      </c>
      <c r="D49" t="inlineStr">
        <is>
          <t>STOCKHOLMS LÄN</t>
        </is>
      </c>
      <c r="E49" t="inlineStr">
        <is>
          <t>HANINGE</t>
        </is>
      </c>
      <c r="F49" t="inlineStr">
        <is>
          <t>Kommuner</t>
        </is>
      </c>
      <c r="G49" t="n">
        <v>0.4</v>
      </c>
      <c r="H49" t="n">
        <v>0</v>
      </c>
      <c r="I49" t="n">
        <v>0</v>
      </c>
      <c r="J49" t="n">
        <v>0</v>
      </c>
      <c r="K49" t="n">
        <v>0</v>
      </c>
      <c r="L49" t="n">
        <v>0</v>
      </c>
      <c r="M49" t="n">
        <v>0</v>
      </c>
      <c r="N49" t="n">
        <v>0</v>
      </c>
      <c r="O49" t="n">
        <v>0</v>
      </c>
      <c r="P49" t="n">
        <v>0</v>
      </c>
      <c r="Q49" t="n">
        <v>0</v>
      </c>
      <c r="R49" s="2" t="inlineStr"/>
    </row>
    <row r="50" ht="15" customHeight="1">
      <c r="A50" t="inlineStr">
        <is>
          <t>A 9946-2024</t>
        </is>
      </c>
      <c r="B50" s="1" t="n">
        <v>45363.59789351852</v>
      </c>
      <c r="C50" s="1" t="n">
        <v>46004</v>
      </c>
      <c r="D50" t="inlineStr">
        <is>
          <t>STOCKHOLMS LÄN</t>
        </is>
      </c>
      <c r="E50" t="inlineStr">
        <is>
          <t>HANINGE</t>
        </is>
      </c>
      <c r="G50" t="n">
        <v>3.8</v>
      </c>
      <c r="H50" t="n">
        <v>0</v>
      </c>
      <c r="I50" t="n">
        <v>0</v>
      </c>
      <c r="J50" t="n">
        <v>0</v>
      </c>
      <c r="K50" t="n">
        <v>0</v>
      </c>
      <c r="L50" t="n">
        <v>0</v>
      </c>
      <c r="M50" t="n">
        <v>0</v>
      </c>
      <c r="N50" t="n">
        <v>0</v>
      </c>
      <c r="O50" t="n">
        <v>0</v>
      </c>
      <c r="P50" t="n">
        <v>0</v>
      </c>
      <c r="Q50" t="n">
        <v>0</v>
      </c>
      <c r="R50" s="2" t="inlineStr"/>
    </row>
    <row r="51" ht="15" customHeight="1">
      <c r="A51" t="inlineStr">
        <is>
          <t>A 41809-2021</t>
        </is>
      </c>
      <c r="B51" s="1" t="n">
        <v>44425</v>
      </c>
      <c r="C51" s="1" t="n">
        <v>46004</v>
      </c>
      <c r="D51" t="inlineStr">
        <is>
          <t>STOCKHOLMS LÄN</t>
        </is>
      </c>
      <c r="E51" t="inlineStr">
        <is>
          <t>HANINGE</t>
        </is>
      </c>
      <c r="G51" t="n">
        <v>0.9</v>
      </c>
      <c r="H51" t="n">
        <v>0</v>
      </c>
      <c r="I51" t="n">
        <v>0</v>
      </c>
      <c r="J51" t="n">
        <v>0</v>
      </c>
      <c r="K51" t="n">
        <v>0</v>
      </c>
      <c r="L51" t="n">
        <v>0</v>
      </c>
      <c r="M51" t="n">
        <v>0</v>
      </c>
      <c r="N51" t="n">
        <v>0</v>
      </c>
      <c r="O51" t="n">
        <v>0</v>
      </c>
      <c r="P51" t="n">
        <v>0</v>
      </c>
      <c r="Q51" t="n">
        <v>0</v>
      </c>
      <c r="R51" s="2" t="inlineStr"/>
    </row>
    <row r="52" ht="15" customHeight="1">
      <c r="A52" t="inlineStr">
        <is>
          <t>A 18512-2024</t>
        </is>
      </c>
      <c r="B52" s="1" t="n">
        <v>45425.59938657407</v>
      </c>
      <c r="C52" s="1" t="n">
        <v>46004</v>
      </c>
      <c r="D52" t="inlineStr">
        <is>
          <t>STOCKHOLMS LÄN</t>
        </is>
      </c>
      <c r="E52" t="inlineStr">
        <is>
          <t>HANINGE</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13046-2022</t>
        </is>
      </c>
      <c r="B53" s="1" t="n">
        <v>44643</v>
      </c>
      <c r="C53" s="1" t="n">
        <v>46004</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row>
    <row r="54" ht="15" customHeight="1">
      <c r="A54" t="inlineStr">
        <is>
          <t>A 1184-2024</t>
        </is>
      </c>
      <c r="B54" s="1" t="n">
        <v>45302.57663194444</v>
      </c>
      <c r="C54" s="1" t="n">
        <v>46004</v>
      </c>
      <c r="D54" t="inlineStr">
        <is>
          <t>STOCKHOLMS LÄN</t>
        </is>
      </c>
      <c r="E54" t="inlineStr">
        <is>
          <t>HANINGE</t>
        </is>
      </c>
      <c r="G54" t="n">
        <v>3.6</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46004</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33792-2023</t>
        </is>
      </c>
      <c r="B56" s="1" t="n">
        <v>45121</v>
      </c>
      <c r="C56" s="1" t="n">
        <v>46004</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46004</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14900-2025</t>
        </is>
      </c>
      <c r="B58" s="1" t="n">
        <v>45743.48729166666</v>
      </c>
      <c r="C58" s="1" t="n">
        <v>46004</v>
      </c>
      <c r="D58" t="inlineStr">
        <is>
          <t>STOCKHOLMS LÄN</t>
        </is>
      </c>
      <c r="E58" t="inlineStr">
        <is>
          <t>HANINGE</t>
        </is>
      </c>
      <c r="G58" t="n">
        <v>4.5</v>
      </c>
      <c r="H58" t="n">
        <v>0</v>
      </c>
      <c r="I58" t="n">
        <v>0</v>
      </c>
      <c r="J58" t="n">
        <v>0</v>
      </c>
      <c r="K58" t="n">
        <v>0</v>
      </c>
      <c r="L58" t="n">
        <v>0</v>
      </c>
      <c r="M58" t="n">
        <v>0</v>
      </c>
      <c r="N58" t="n">
        <v>0</v>
      </c>
      <c r="O58" t="n">
        <v>0</v>
      </c>
      <c r="P58" t="n">
        <v>0</v>
      </c>
      <c r="Q58" t="n">
        <v>0</v>
      </c>
      <c r="R58" s="2" t="inlineStr"/>
    </row>
    <row r="59" ht="15" customHeight="1">
      <c r="A59" t="inlineStr">
        <is>
          <t>A 20527-2025</t>
        </is>
      </c>
      <c r="B59" s="1" t="n">
        <v>45775.60663194444</v>
      </c>
      <c r="C59" s="1" t="n">
        <v>46004</v>
      </c>
      <c r="D59" t="inlineStr">
        <is>
          <t>STOCKHOLMS LÄN</t>
        </is>
      </c>
      <c r="E59" t="inlineStr">
        <is>
          <t>HANINGE</t>
        </is>
      </c>
      <c r="G59" t="n">
        <v>2.1</v>
      </c>
      <c r="H59" t="n">
        <v>0</v>
      </c>
      <c r="I59" t="n">
        <v>0</v>
      </c>
      <c r="J59" t="n">
        <v>0</v>
      </c>
      <c r="K59" t="n">
        <v>0</v>
      </c>
      <c r="L59" t="n">
        <v>0</v>
      </c>
      <c r="M59" t="n">
        <v>0</v>
      </c>
      <c r="N59" t="n">
        <v>0</v>
      </c>
      <c r="O59" t="n">
        <v>0</v>
      </c>
      <c r="P59" t="n">
        <v>0</v>
      </c>
      <c r="Q59" t="n">
        <v>0</v>
      </c>
      <c r="R59" s="2" t="inlineStr"/>
    </row>
    <row r="60" ht="15" customHeight="1">
      <c r="A60" t="inlineStr">
        <is>
          <t>A 64568-2023</t>
        </is>
      </c>
      <c r="B60" s="1" t="n">
        <v>45281.43164351852</v>
      </c>
      <c r="C60" s="1" t="n">
        <v>46004</v>
      </c>
      <c r="D60" t="inlineStr">
        <is>
          <t>STOCKHOLMS LÄN</t>
        </is>
      </c>
      <c r="E60" t="inlineStr">
        <is>
          <t>HANINGE</t>
        </is>
      </c>
      <c r="G60" t="n">
        <v>3.1</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46004</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22288-2023</t>
        </is>
      </c>
      <c r="B62" s="1" t="n">
        <v>45070</v>
      </c>
      <c r="C62" s="1" t="n">
        <v>46004</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1703-2023</t>
        </is>
      </c>
      <c r="B63" s="1" t="n">
        <v>44938.44412037037</v>
      </c>
      <c r="C63" s="1" t="n">
        <v>46004</v>
      </c>
      <c r="D63" t="inlineStr">
        <is>
          <t>STOCKHOLMS LÄN</t>
        </is>
      </c>
      <c r="E63" t="inlineStr">
        <is>
          <t>HANINGE</t>
        </is>
      </c>
      <c r="G63" t="n">
        <v>1.8</v>
      </c>
      <c r="H63" t="n">
        <v>0</v>
      </c>
      <c r="I63" t="n">
        <v>0</v>
      </c>
      <c r="J63" t="n">
        <v>0</v>
      </c>
      <c r="K63" t="n">
        <v>0</v>
      </c>
      <c r="L63" t="n">
        <v>0</v>
      </c>
      <c r="M63" t="n">
        <v>0</v>
      </c>
      <c r="N63" t="n">
        <v>0</v>
      </c>
      <c r="O63" t="n">
        <v>0</v>
      </c>
      <c r="P63" t="n">
        <v>0</v>
      </c>
      <c r="Q63" t="n">
        <v>0</v>
      </c>
      <c r="R63" s="2" t="inlineStr"/>
    </row>
    <row r="64" ht="15" customHeight="1">
      <c r="A64" t="inlineStr">
        <is>
          <t>A 1180-2024</t>
        </is>
      </c>
      <c r="B64" s="1" t="n">
        <v>45302</v>
      </c>
      <c r="C64" s="1" t="n">
        <v>46004</v>
      </c>
      <c r="D64" t="inlineStr">
        <is>
          <t>STOCKHOLMS LÄN</t>
        </is>
      </c>
      <c r="E64" t="inlineStr">
        <is>
          <t>HANINGE</t>
        </is>
      </c>
      <c r="G64" t="n">
        <v>2</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46004</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24873-2023</t>
        </is>
      </c>
      <c r="B66" s="1" t="n">
        <v>45085</v>
      </c>
      <c r="C66" s="1" t="n">
        <v>46004</v>
      </c>
      <c r="D66" t="inlineStr">
        <is>
          <t>STOCKHOLMS LÄN</t>
        </is>
      </c>
      <c r="E66" t="inlineStr">
        <is>
          <t>HANINGE</t>
        </is>
      </c>
      <c r="G66" t="n">
        <v>1.9</v>
      </c>
      <c r="H66" t="n">
        <v>0</v>
      </c>
      <c r="I66" t="n">
        <v>0</v>
      </c>
      <c r="J66" t="n">
        <v>0</v>
      </c>
      <c r="K66" t="n">
        <v>0</v>
      </c>
      <c r="L66" t="n">
        <v>0</v>
      </c>
      <c r="M66" t="n">
        <v>0</v>
      </c>
      <c r="N66" t="n">
        <v>0</v>
      </c>
      <c r="O66" t="n">
        <v>0</v>
      </c>
      <c r="P66" t="n">
        <v>0</v>
      </c>
      <c r="Q66" t="n">
        <v>0</v>
      </c>
      <c r="R66" s="2" t="inlineStr"/>
    </row>
    <row r="67" ht="15" customHeight="1">
      <c r="A67" t="inlineStr">
        <is>
          <t>A 18490-2025</t>
        </is>
      </c>
      <c r="B67" s="1" t="n">
        <v>45763</v>
      </c>
      <c r="C67" s="1" t="n">
        <v>46004</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58599-2023</t>
        </is>
      </c>
      <c r="B68" s="1" t="n">
        <v>45251.47721064815</v>
      </c>
      <c r="C68" s="1" t="n">
        <v>46004</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52836-2024</t>
        </is>
      </c>
      <c r="B69" s="1" t="n">
        <v>45610.59637731482</v>
      </c>
      <c r="C69" s="1" t="n">
        <v>46004</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8078-2024</t>
        </is>
      </c>
      <c r="B70" s="1" t="n">
        <v>45351.43737268518</v>
      </c>
      <c r="C70" s="1" t="n">
        <v>46004</v>
      </c>
      <c r="D70" t="inlineStr">
        <is>
          <t>STOCKHOLMS LÄN</t>
        </is>
      </c>
      <c r="E70" t="inlineStr">
        <is>
          <t>HANINGE</t>
        </is>
      </c>
      <c r="F70" t="inlineStr">
        <is>
          <t>Kommuner</t>
        </is>
      </c>
      <c r="G70" t="n">
        <v>1.4</v>
      </c>
      <c r="H70" t="n">
        <v>0</v>
      </c>
      <c r="I70" t="n">
        <v>0</v>
      </c>
      <c r="J70" t="n">
        <v>0</v>
      </c>
      <c r="K70" t="n">
        <v>0</v>
      </c>
      <c r="L70" t="n">
        <v>0</v>
      </c>
      <c r="M70" t="n">
        <v>0</v>
      </c>
      <c r="N70" t="n">
        <v>0</v>
      </c>
      <c r="O70" t="n">
        <v>0</v>
      </c>
      <c r="P70" t="n">
        <v>0</v>
      </c>
      <c r="Q70" t="n">
        <v>0</v>
      </c>
      <c r="R70" s="2" t="inlineStr"/>
    </row>
    <row r="71" ht="15" customHeight="1">
      <c r="A71" t="inlineStr">
        <is>
          <t>A 38880-2025</t>
        </is>
      </c>
      <c r="B71" s="1" t="n">
        <v>45887.57966435186</v>
      </c>
      <c r="C71" s="1" t="n">
        <v>46004</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46004</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46004</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8163-2024</t>
        </is>
      </c>
      <c r="B74" s="1" t="n">
        <v>45351.60337962963</v>
      </c>
      <c r="C74" s="1" t="n">
        <v>46004</v>
      </c>
      <c r="D74" t="inlineStr">
        <is>
          <t>STOCKHOLMS LÄN</t>
        </is>
      </c>
      <c r="E74" t="inlineStr">
        <is>
          <t>HANINGE</t>
        </is>
      </c>
      <c r="F74" t="inlineStr">
        <is>
          <t>Kommuner</t>
        </is>
      </c>
      <c r="G74" t="n">
        <v>3.8</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46004</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18491-2025</t>
        </is>
      </c>
      <c r="B76" s="1" t="n">
        <v>45763.34135416667</v>
      </c>
      <c r="C76" s="1" t="n">
        <v>46004</v>
      </c>
      <c r="D76" t="inlineStr">
        <is>
          <t>STOCKHOLMS LÄN</t>
        </is>
      </c>
      <c r="E76" t="inlineStr">
        <is>
          <t>HANINGE</t>
        </is>
      </c>
      <c r="G76" t="n">
        <v>0.5</v>
      </c>
      <c r="H76" t="n">
        <v>0</v>
      </c>
      <c r="I76" t="n">
        <v>0</v>
      </c>
      <c r="J76" t="n">
        <v>0</v>
      </c>
      <c r="K76" t="n">
        <v>0</v>
      </c>
      <c r="L76" t="n">
        <v>0</v>
      </c>
      <c r="M76" t="n">
        <v>0</v>
      </c>
      <c r="N76" t="n">
        <v>0</v>
      </c>
      <c r="O76" t="n">
        <v>0</v>
      </c>
      <c r="P76" t="n">
        <v>0</v>
      </c>
      <c r="Q76" t="n">
        <v>0</v>
      </c>
      <c r="R76" s="2" t="inlineStr"/>
    </row>
    <row r="77" ht="15" customHeight="1">
      <c r="A77" t="inlineStr">
        <is>
          <t>A 5474-2024</t>
        </is>
      </c>
      <c r="B77" s="1" t="n">
        <v>45333.51131944444</v>
      </c>
      <c r="C77" s="1" t="n">
        <v>46004</v>
      </c>
      <c r="D77" t="inlineStr">
        <is>
          <t>STOCKHOLMS LÄN</t>
        </is>
      </c>
      <c r="E77" t="inlineStr">
        <is>
          <t>HANINGE</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19220-2023</t>
        </is>
      </c>
      <c r="B78" s="1" t="n">
        <v>45048</v>
      </c>
      <c r="C78" s="1" t="n">
        <v>46004</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25584-2023</t>
        </is>
      </c>
      <c r="B79" s="1" t="n">
        <v>45089</v>
      </c>
      <c r="C79" s="1" t="n">
        <v>46004</v>
      </c>
      <c r="D79" t="inlineStr">
        <is>
          <t>STOCKHOLMS LÄN</t>
        </is>
      </c>
      <c r="E79" t="inlineStr">
        <is>
          <t>HANINGE</t>
        </is>
      </c>
      <c r="G79" t="n">
        <v>4.8</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46004</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3156-2025</t>
        </is>
      </c>
      <c r="B81" s="1" t="n">
        <v>45679.32142361111</v>
      </c>
      <c r="C81" s="1" t="n">
        <v>46004</v>
      </c>
      <c r="D81" t="inlineStr">
        <is>
          <t>STOCKHOLMS LÄN</t>
        </is>
      </c>
      <c r="E81" t="inlineStr">
        <is>
          <t>HANINGE</t>
        </is>
      </c>
      <c r="G81" t="n">
        <v>3.3</v>
      </c>
      <c r="H81" t="n">
        <v>0</v>
      </c>
      <c r="I81" t="n">
        <v>0</v>
      </c>
      <c r="J81" t="n">
        <v>0</v>
      </c>
      <c r="K81" t="n">
        <v>0</v>
      </c>
      <c r="L81" t="n">
        <v>0</v>
      </c>
      <c r="M81" t="n">
        <v>0</v>
      </c>
      <c r="N81" t="n">
        <v>0</v>
      </c>
      <c r="O81" t="n">
        <v>0</v>
      </c>
      <c r="P81" t="n">
        <v>0</v>
      </c>
      <c r="Q81" t="n">
        <v>0</v>
      </c>
      <c r="R81" s="2" t="inlineStr"/>
    </row>
    <row r="82" ht="15" customHeight="1">
      <c r="A82" t="inlineStr">
        <is>
          <t>A 1187-2024</t>
        </is>
      </c>
      <c r="B82" s="1" t="n">
        <v>45302.58045138889</v>
      </c>
      <c r="C82" s="1" t="n">
        <v>46004</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52773-2024</t>
        </is>
      </c>
      <c r="B83" s="1" t="n">
        <v>45610.53207175926</v>
      </c>
      <c r="C83" s="1" t="n">
        <v>46004</v>
      </c>
      <c r="D83" t="inlineStr">
        <is>
          <t>STOCKHOLMS LÄN</t>
        </is>
      </c>
      <c r="E83" t="inlineStr">
        <is>
          <t>HANINGE</t>
        </is>
      </c>
      <c r="G83" t="n">
        <v>0.7</v>
      </c>
      <c r="H83" t="n">
        <v>0</v>
      </c>
      <c r="I83" t="n">
        <v>0</v>
      </c>
      <c r="J83" t="n">
        <v>0</v>
      </c>
      <c r="K83" t="n">
        <v>0</v>
      </c>
      <c r="L83" t="n">
        <v>0</v>
      </c>
      <c r="M83" t="n">
        <v>0</v>
      </c>
      <c r="N83" t="n">
        <v>0</v>
      </c>
      <c r="O83" t="n">
        <v>0</v>
      </c>
      <c r="P83" t="n">
        <v>0</v>
      </c>
      <c r="Q83" t="n">
        <v>0</v>
      </c>
      <c r="R83" s="2" t="inlineStr"/>
    </row>
    <row r="84" ht="15" customHeight="1">
      <c r="A84" t="inlineStr">
        <is>
          <t>A 17765-2024</t>
        </is>
      </c>
      <c r="B84" s="1" t="n">
        <v>45418.63149305555</v>
      </c>
      <c r="C84" s="1" t="n">
        <v>46004</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46004</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21231-2025</t>
        </is>
      </c>
      <c r="B86" s="1" t="n">
        <v>45779.54644675926</v>
      </c>
      <c r="C86" s="1" t="n">
        <v>46004</v>
      </c>
      <c r="D86" t="inlineStr">
        <is>
          <t>STOCKHOLMS LÄN</t>
        </is>
      </c>
      <c r="E86" t="inlineStr">
        <is>
          <t>HANINGE</t>
        </is>
      </c>
      <c r="G86" t="n">
        <v>4.3</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46004</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46004</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24115-2025</t>
        </is>
      </c>
      <c r="B89" s="1" t="n">
        <v>45796.61494212963</v>
      </c>
      <c r="C89" s="1" t="n">
        <v>46004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64075-2023</t>
        </is>
      </c>
      <c r="B90" s="1" t="n">
        <v>45279</v>
      </c>
      <c r="C90" s="1" t="n">
        <v>46004</v>
      </c>
      <c r="D90" t="inlineStr">
        <is>
          <t>STOCKHOLMS LÄN</t>
        </is>
      </c>
      <c r="E90" t="inlineStr">
        <is>
          <t>HANINGE</t>
        </is>
      </c>
      <c r="G90" t="n">
        <v>2.6</v>
      </c>
      <c r="H90" t="n">
        <v>0</v>
      </c>
      <c r="I90" t="n">
        <v>0</v>
      </c>
      <c r="J90" t="n">
        <v>0</v>
      </c>
      <c r="K90" t="n">
        <v>0</v>
      </c>
      <c r="L90" t="n">
        <v>0</v>
      </c>
      <c r="M90" t="n">
        <v>0</v>
      </c>
      <c r="N90" t="n">
        <v>0</v>
      </c>
      <c r="O90" t="n">
        <v>0</v>
      </c>
      <c r="P90" t="n">
        <v>0</v>
      </c>
      <c r="Q90" t="n">
        <v>0</v>
      </c>
      <c r="R90" s="2" t="inlineStr"/>
    </row>
    <row r="91" ht="15" customHeight="1">
      <c r="A91" t="inlineStr">
        <is>
          <t>A 48606-2025</t>
        </is>
      </c>
      <c r="B91" s="1" t="n">
        <v>45936.47019675926</v>
      </c>
      <c r="C91" s="1" t="n">
        <v>46004</v>
      </c>
      <c r="D91" t="inlineStr">
        <is>
          <t>STOCKHOLMS LÄN</t>
        </is>
      </c>
      <c r="E91" t="inlineStr">
        <is>
          <t>HANINGE</t>
        </is>
      </c>
      <c r="G91" t="n">
        <v>6.9</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46004</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59565-2025</t>
        </is>
      </c>
      <c r="B93" s="1" t="n">
        <v>45991.88413194445</v>
      </c>
      <c r="C93" s="1" t="n">
        <v>46004</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59568-2025</t>
        </is>
      </c>
      <c r="B94" s="1" t="n">
        <v>45991.90737268519</v>
      </c>
      <c r="C94" s="1" t="n">
        <v>46004</v>
      </c>
      <c r="D94" t="inlineStr">
        <is>
          <t>STOCKHOLMS LÄN</t>
        </is>
      </c>
      <c r="E94" t="inlineStr">
        <is>
          <t>HANINGE</t>
        </is>
      </c>
      <c r="G94" t="n">
        <v>5.8</v>
      </c>
      <c r="H94" t="n">
        <v>0</v>
      </c>
      <c r="I94" t="n">
        <v>0</v>
      </c>
      <c r="J94" t="n">
        <v>0</v>
      </c>
      <c r="K94" t="n">
        <v>0</v>
      </c>
      <c r="L94" t="n">
        <v>0</v>
      </c>
      <c r="M94" t="n">
        <v>0</v>
      </c>
      <c r="N94" t="n">
        <v>0</v>
      </c>
      <c r="O94" t="n">
        <v>0</v>
      </c>
      <c r="P94" t="n">
        <v>0</v>
      </c>
      <c r="Q94" t="n">
        <v>0</v>
      </c>
      <c r="R94" s="2" t="inlineStr"/>
    </row>
    <row r="95" ht="15" customHeight="1">
      <c r="A95" t="inlineStr">
        <is>
          <t>A 59569-2025</t>
        </is>
      </c>
      <c r="B95" s="1" t="n">
        <v>45991.92870370371</v>
      </c>
      <c r="C95" s="1" t="n">
        <v>46004</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32952-2025</t>
        </is>
      </c>
      <c r="B96" s="1" t="n">
        <v>45839.69278935185</v>
      </c>
      <c r="C96" s="1" t="n">
        <v>46004</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ht="15" customHeight="1">
      <c r="A97" t="inlineStr">
        <is>
          <t>A 32954-2025</t>
        </is>
      </c>
      <c r="B97" s="1" t="n">
        <v>45839.70034722222</v>
      </c>
      <c r="C97" s="1" t="n">
        <v>46004</v>
      </c>
      <c r="D97" t="inlineStr">
        <is>
          <t>STOCKHOLMS LÄN</t>
        </is>
      </c>
      <c r="E97" t="inlineStr">
        <is>
          <t>HANINGE</t>
        </is>
      </c>
      <c r="G97" t="n">
        <v>1.6</v>
      </c>
      <c r="H97" t="n">
        <v>0</v>
      </c>
      <c r="I97" t="n">
        <v>0</v>
      </c>
      <c r="J97" t="n">
        <v>0</v>
      </c>
      <c r="K97" t="n">
        <v>0</v>
      </c>
      <c r="L97" t="n">
        <v>0</v>
      </c>
      <c r="M97" t="n">
        <v>0</v>
      </c>
      <c r="N97" t="n">
        <v>0</v>
      </c>
      <c r="O97" t="n">
        <v>0</v>
      </c>
      <c r="P97" t="n">
        <v>0</v>
      </c>
      <c r="Q97" t="n">
        <v>0</v>
      </c>
      <c r="R97" s="2" t="inlineStr"/>
    </row>
    <row r="98" ht="15" customHeight="1">
      <c r="A98" t="inlineStr">
        <is>
          <t>A 32948-2025</t>
        </is>
      </c>
      <c r="B98" s="1" t="n">
        <v>45839</v>
      </c>
      <c r="C98" s="1" t="n">
        <v>46004</v>
      </c>
      <c r="D98" t="inlineStr">
        <is>
          <t>STOCKHOLMS LÄN</t>
        </is>
      </c>
      <c r="E98" t="inlineStr">
        <is>
          <t>HANINGE</t>
        </is>
      </c>
      <c r="G98" t="n">
        <v>1.1</v>
      </c>
      <c r="H98" t="n">
        <v>0</v>
      </c>
      <c r="I98" t="n">
        <v>0</v>
      </c>
      <c r="J98" t="n">
        <v>0</v>
      </c>
      <c r="K98" t="n">
        <v>0</v>
      </c>
      <c r="L98" t="n">
        <v>0</v>
      </c>
      <c r="M98" t="n">
        <v>0</v>
      </c>
      <c r="N98" t="n">
        <v>0</v>
      </c>
      <c r="O98" t="n">
        <v>0</v>
      </c>
      <c r="P98" t="n">
        <v>0</v>
      </c>
      <c r="Q98" t="n">
        <v>0</v>
      </c>
      <c r="R98" s="2" t="inlineStr"/>
    </row>
    <row r="99" ht="15" customHeight="1">
      <c r="A99" t="inlineStr">
        <is>
          <t>A 14264-2025</t>
        </is>
      </c>
      <c r="B99" s="1" t="n">
        <v>45740.6340162037</v>
      </c>
      <c r="C99" s="1" t="n">
        <v>46004</v>
      </c>
      <c r="D99" t="inlineStr">
        <is>
          <t>STOCKHOLMS LÄN</t>
        </is>
      </c>
      <c r="E99" t="inlineStr">
        <is>
          <t>HANINGE</t>
        </is>
      </c>
      <c r="G99" t="n">
        <v>1</v>
      </c>
      <c r="H99" t="n">
        <v>0</v>
      </c>
      <c r="I99" t="n">
        <v>0</v>
      </c>
      <c r="J99" t="n">
        <v>0</v>
      </c>
      <c r="K99" t="n">
        <v>0</v>
      </c>
      <c r="L99" t="n">
        <v>0</v>
      </c>
      <c r="M99" t="n">
        <v>0</v>
      </c>
      <c r="N99" t="n">
        <v>0</v>
      </c>
      <c r="O99" t="n">
        <v>0</v>
      </c>
      <c r="P99" t="n">
        <v>0</v>
      </c>
      <c r="Q99" t="n">
        <v>0</v>
      </c>
      <c r="R99" s="2" t="inlineStr"/>
    </row>
    <row r="100">
      <c r="A100" t="inlineStr">
        <is>
          <t>A 17020-2022</t>
        </is>
      </c>
      <c r="B100" s="1" t="n">
        <v>44676</v>
      </c>
      <c r="C100" s="1" t="n">
        <v>46004</v>
      </c>
      <c r="D100" t="inlineStr">
        <is>
          <t>STOCKHOLMS LÄN</t>
        </is>
      </c>
      <c r="E100" t="inlineStr">
        <is>
          <t>HANINGE</t>
        </is>
      </c>
      <c r="F100" t="inlineStr">
        <is>
          <t>Övriga statliga verk och myndigheter</t>
        </is>
      </c>
      <c r="G100" t="n">
        <v>12.4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2025-12-13T10:29:34Z</dcterms:created>
  <dcterms:modified xmlns:dcterms="http://purl.org/dc/terms/" xmlns:xsi="http://www.w3.org/2001/XMLSchema-instance" xsi:type="dcterms:W3CDTF">2025-12-13T10:29:34Z</dcterms:modified>
</cp:coreProperties>
</file>