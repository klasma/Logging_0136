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46205</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46205</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46205</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46205</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46205</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46205</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46205</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46205</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46205</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46205</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46205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46205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46205</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46205</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46205</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46205</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39651-2021</t>
        </is>
      </c>
      <c r="B18" s="1" t="n">
        <v>44417</v>
      </c>
      <c r="C18" s="1" t="n">
        <v>46205</v>
      </c>
      <c r="D18" t="inlineStr">
        <is>
          <t>STOCKHOLMS LÄN</t>
        </is>
      </c>
      <c r="E18" t="inlineStr">
        <is>
          <t>HANINGE</t>
        </is>
      </c>
      <c r="G18" t="n">
        <v>3.6</v>
      </c>
      <c r="H18" t="n">
        <v>0</v>
      </c>
      <c r="I18" t="n">
        <v>1</v>
      </c>
      <c r="J18" t="n">
        <v>0</v>
      </c>
      <c r="K18" t="n">
        <v>0</v>
      </c>
      <c r="L18" t="n">
        <v>0</v>
      </c>
      <c r="M18" t="n">
        <v>0</v>
      </c>
      <c r="N18" t="n">
        <v>0</v>
      </c>
      <c r="O18" t="n">
        <v>0</v>
      </c>
      <c r="P18" t="n">
        <v>0</v>
      </c>
      <c r="Q18" t="n">
        <v>1</v>
      </c>
      <c r="R18" s="2" t="inlineStr">
        <is>
          <t>Flagellkvastmossa</t>
        </is>
      </c>
      <c r="S18">
        <f>HYPERLINK("https://klasma.github.io/Logging_0136/artfynd/A 39651-2021 artfynd.xlsx", "A 39651-2021")</f>
        <v/>
      </c>
      <c r="T18">
        <f>HYPERLINK("https://klasma.github.io/Logging_0136/kartor/A 39651-2021 karta.png", "A 39651-2021")</f>
        <v/>
      </c>
      <c r="V18">
        <f>HYPERLINK("https://klasma.github.io/Logging_0136/klagomål/A 39651-2021 FSC-klagomål.docx", "A 39651-2021")</f>
        <v/>
      </c>
      <c r="W18">
        <f>HYPERLINK("https://klasma.github.io/Logging_0136/klagomålsmail/A 39651-2021 FSC-klagomål mail.docx", "A 39651-2021")</f>
        <v/>
      </c>
      <c r="X18">
        <f>HYPERLINK("https://klasma.github.io/Logging_0136/tillsyn/A 39651-2021 tillsynsbegäran.docx", "A 39651-2021")</f>
        <v/>
      </c>
      <c r="Y18">
        <f>HYPERLINK("https://klasma.github.io/Logging_0136/tillsynsmail/A 39651-2021 tillsynsbegäran mail.docx", "A 39651-2021")</f>
        <v/>
      </c>
    </row>
    <row r="19" ht="15" customHeight="1">
      <c r="A19" t="inlineStr">
        <is>
          <t>A 39636-2022</t>
        </is>
      </c>
      <c r="B19" s="1" t="n">
        <v>44818</v>
      </c>
      <c r="C19" s="1" t="n">
        <v>46205</v>
      </c>
      <c r="D19" t="inlineStr">
        <is>
          <t>STOCKHOLMS LÄN</t>
        </is>
      </c>
      <c r="E19" t="inlineStr">
        <is>
          <t>HANINGE</t>
        </is>
      </c>
      <c r="G19" t="n">
        <v>2</v>
      </c>
      <c r="H19" t="n">
        <v>0</v>
      </c>
      <c r="I19" t="n">
        <v>0</v>
      </c>
      <c r="J19" t="n">
        <v>0</v>
      </c>
      <c r="K19" t="n">
        <v>0</v>
      </c>
      <c r="L19" t="n">
        <v>1</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46205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46205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46205</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6648-2023</t>
        </is>
      </c>
      <c r="B23" s="1" t="n">
        <v>44966</v>
      </c>
      <c r="C23" s="1" t="n">
        <v>46205</v>
      </c>
      <c r="D23" t="inlineStr">
        <is>
          <t>STOCKHOLMS LÄN</t>
        </is>
      </c>
      <c r="E23" t="inlineStr">
        <is>
          <t>HANINGE</t>
        </is>
      </c>
      <c r="G23" t="n">
        <v>4</v>
      </c>
      <c r="H23" t="n">
        <v>1</v>
      </c>
      <c r="I23" t="n">
        <v>0</v>
      </c>
      <c r="J23" t="n">
        <v>1</v>
      </c>
      <c r="K23" t="n">
        <v>0</v>
      </c>
      <c r="L23" t="n">
        <v>0</v>
      </c>
      <c r="M23" t="n">
        <v>0</v>
      </c>
      <c r="N23" t="n">
        <v>0</v>
      </c>
      <c r="O23" t="n">
        <v>1</v>
      </c>
      <c r="P23" t="n">
        <v>0</v>
      </c>
      <c r="Q23" t="n">
        <v>1</v>
      </c>
      <c r="R23" s="2" t="inlineStr">
        <is>
          <t>Nötkråka</t>
        </is>
      </c>
      <c r="S23">
        <f>HYPERLINK("https://klasma.github.io/Logging_0136/artfynd/A 6648-2023 artfynd.xlsx", "A 6648-2023")</f>
        <v/>
      </c>
      <c r="T23">
        <f>HYPERLINK("https://klasma.github.io/Logging_0136/kartor/A 6648-2023 karta.png", "A 6648-2023")</f>
        <v/>
      </c>
      <c r="V23">
        <f>HYPERLINK("https://klasma.github.io/Logging_0136/klagomål/A 6648-2023 FSC-klagomål.docx", "A 6648-2023")</f>
        <v/>
      </c>
      <c r="W23">
        <f>HYPERLINK("https://klasma.github.io/Logging_0136/klagomålsmail/A 6648-2023 FSC-klagomål mail.docx", "A 6648-2023")</f>
        <v/>
      </c>
      <c r="X23">
        <f>HYPERLINK("https://klasma.github.io/Logging_0136/tillsyn/A 6648-2023 tillsynsbegäran.docx", "A 6648-2023")</f>
        <v/>
      </c>
      <c r="Y23">
        <f>HYPERLINK("https://klasma.github.io/Logging_0136/tillsynsmail/A 6648-2023 tillsynsbegäran mail.docx", "A 6648-2023")</f>
        <v/>
      </c>
      <c r="Z23">
        <f>HYPERLINK("https://klasma.github.io/Logging_0136/fåglar/A 6648-2023 prioriterade fågelarter.docx", "A 6648-2023")</f>
        <v/>
      </c>
    </row>
    <row r="24" ht="15" customHeight="1">
      <c r="A24" t="inlineStr">
        <is>
          <t>A 59570-2025</t>
        </is>
      </c>
      <c r="B24" s="1" t="n">
        <v>45991</v>
      </c>
      <c r="C24" s="1" t="n">
        <v>46205</v>
      </c>
      <c r="D24" t="inlineStr">
        <is>
          <t>STOCKHOLMS LÄN</t>
        </is>
      </c>
      <c r="E24" t="inlineStr">
        <is>
          <t>HANINGE</t>
        </is>
      </c>
      <c r="G24" t="n">
        <v>2.3</v>
      </c>
      <c r="H24" t="n">
        <v>1</v>
      </c>
      <c r="I24" t="n">
        <v>0</v>
      </c>
      <c r="J24" t="n">
        <v>0</v>
      </c>
      <c r="K24" t="n">
        <v>0</v>
      </c>
      <c r="L24" t="n">
        <v>0</v>
      </c>
      <c r="M24" t="n">
        <v>0</v>
      </c>
      <c r="N24" t="n">
        <v>0</v>
      </c>
      <c r="O24" t="n">
        <v>0</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34823-2022</t>
        </is>
      </c>
      <c r="B25" s="1" t="n">
        <v>44796</v>
      </c>
      <c r="C25" s="1" t="n">
        <v>46205</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28861-2026</t>
        </is>
      </c>
      <c r="B26" s="1" t="n">
        <v>46199</v>
      </c>
      <c r="C26" s="1" t="n">
        <v>46205</v>
      </c>
      <c r="D26" t="inlineStr">
        <is>
          <t>STOCKHOLMS LÄN</t>
        </is>
      </c>
      <c r="E26" t="inlineStr">
        <is>
          <t>HANINGE</t>
        </is>
      </c>
      <c r="G26" t="n">
        <v>1.3</v>
      </c>
      <c r="H26" t="n">
        <v>0</v>
      </c>
      <c r="I26" t="n">
        <v>0</v>
      </c>
      <c r="J26" t="n">
        <v>1</v>
      </c>
      <c r="K26" t="n">
        <v>0</v>
      </c>
      <c r="L26" t="n">
        <v>0</v>
      </c>
      <c r="M26" t="n">
        <v>0</v>
      </c>
      <c r="N26" t="n">
        <v>0</v>
      </c>
      <c r="O26" t="n">
        <v>1</v>
      </c>
      <c r="P26" t="n">
        <v>0</v>
      </c>
      <c r="Q26" t="n">
        <v>1</v>
      </c>
      <c r="R26" s="2" t="inlineStr">
        <is>
          <t>Skogshare</t>
        </is>
      </c>
      <c r="S26">
        <f>HYPERLINK("https://klasma.github.io/Logging_0136/artfynd/A 28861-2026 artfynd.xlsx", "A 28861-2026")</f>
        <v/>
      </c>
      <c r="T26">
        <f>HYPERLINK("https://klasma.github.io/Logging_0136/kartor/A 28861-2026 karta.png", "A 28861-2026")</f>
        <v/>
      </c>
      <c r="V26">
        <f>HYPERLINK("https://klasma.github.io/Logging_0136/klagomål/A 28861-2026 FSC-klagomål.docx", "A 28861-2026")</f>
        <v/>
      </c>
      <c r="W26">
        <f>HYPERLINK("https://klasma.github.io/Logging_0136/klagomålsmail/A 28861-2026 FSC-klagomål mail.docx", "A 28861-2026")</f>
        <v/>
      </c>
      <c r="X26">
        <f>HYPERLINK("https://klasma.github.io/Logging_0136/tillsyn/A 28861-2026 tillsynsbegäran.docx", "A 28861-2026")</f>
        <v/>
      </c>
      <c r="Y26">
        <f>HYPERLINK("https://klasma.github.io/Logging_0136/tillsynsmail/A 28861-2026 tillsynsbegäran mail.docx", "A 28861-2026")</f>
        <v/>
      </c>
    </row>
    <row r="27" ht="15" customHeight="1">
      <c r="A27" t="inlineStr">
        <is>
          <t>A 41259-2022</t>
        </is>
      </c>
      <c r="B27" s="1" t="n">
        <v>44825</v>
      </c>
      <c r="C27" s="1" t="n">
        <v>46205</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46205</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46205</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46205</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46205</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46205</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46205</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46205</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46205</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46205</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46205</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46205</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46205</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37000-2022</t>
        </is>
      </c>
      <c r="B40" s="1" t="n">
        <v>44806</v>
      </c>
      <c r="C40" s="1" t="n">
        <v>46205</v>
      </c>
      <c r="D40" t="inlineStr">
        <is>
          <t>STOCKHOLMS LÄN</t>
        </is>
      </c>
      <c r="E40" t="inlineStr">
        <is>
          <t>HANINGE</t>
        </is>
      </c>
      <c r="F40" t="inlineStr">
        <is>
          <t>Övriga statliga verk och myndigheter</t>
        </is>
      </c>
      <c r="G40" t="n">
        <v>2</v>
      </c>
      <c r="H40" t="n">
        <v>0</v>
      </c>
      <c r="I40" t="n">
        <v>0</v>
      </c>
      <c r="J40" t="n">
        <v>0</v>
      </c>
      <c r="K40" t="n">
        <v>0</v>
      </c>
      <c r="L40" t="n">
        <v>0</v>
      </c>
      <c r="M40" t="n">
        <v>0</v>
      </c>
      <c r="N40" t="n">
        <v>0</v>
      </c>
      <c r="O40" t="n">
        <v>0</v>
      </c>
      <c r="P40" t="n">
        <v>0</v>
      </c>
      <c r="Q40" t="n">
        <v>0</v>
      </c>
      <c r="R40" s="2" t="inlineStr"/>
    </row>
    <row r="41" ht="15" customHeight="1">
      <c r="A41" t="inlineStr">
        <is>
          <t>A 3156-2025</t>
        </is>
      </c>
      <c r="B41" s="1" t="n">
        <v>45679</v>
      </c>
      <c r="C41" s="1" t="n">
        <v>46205</v>
      </c>
      <c r="D41" t="inlineStr">
        <is>
          <t>STOCKHOLMS LÄN</t>
        </is>
      </c>
      <c r="E41" t="inlineStr">
        <is>
          <t>HANINGE</t>
        </is>
      </c>
      <c r="G41" t="n">
        <v>3.3</v>
      </c>
      <c r="H41" t="n">
        <v>0</v>
      </c>
      <c r="I41" t="n">
        <v>0</v>
      </c>
      <c r="J41" t="n">
        <v>0</v>
      </c>
      <c r="K41" t="n">
        <v>0</v>
      </c>
      <c r="L41" t="n">
        <v>0</v>
      </c>
      <c r="M41" t="n">
        <v>0</v>
      </c>
      <c r="N41" t="n">
        <v>0</v>
      </c>
      <c r="O41" t="n">
        <v>0</v>
      </c>
      <c r="P41" t="n">
        <v>0</v>
      </c>
      <c r="Q41" t="n">
        <v>0</v>
      </c>
      <c r="R41" s="2" t="inlineStr"/>
    </row>
    <row r="42" ht="15" customHeight="1">
      <c r="A42" t="inlineStr">
        <is>
          <t>A 18491-2025</t>
        </is>
      </c>
      <c r="B42" s="1" t="n">
        <v>45763</v>
      </c>
      <c r="C42" s="1" t="n">
        <v>46205</v>
      </c>
      <c r="D42" t="inlineStr">
        <is>
          <t>STOCKHOLMS LÄN</t>
        </is>
      </c>
      <c r="E42" t="inlineStr">
        <is>
          <t>HANINGE</t>
        </is>
      </c>
      <c r="G42" t="n">
        <v>0.5</v>
      </c>
      <c r="H42" t="n">
        <v>0</v>
      </c>
      <c r="I42" t="n">
        <v>0</v>
      </c>
      <c r="J42" t="n">
        <v>0</v>
      </c>
      <c r="K42" t="n">
        <v>0</v>
      </c>
      <c r="L42" t="n">
        <v>0</v>
      </c>
      <c r="M42" t="n">
        <v>0</v>
      </c>
      <c r="N42" t="n">
        <v>0</v>
      </c>
      <c r="O42" t="n">
        <v>0</v>
      </c>
      <c r="P42" t="n">
        <v>0</v>
      </c>
      <c r="Q42" t="n">
        <v>0</v>
      </c>
      <c r="R42" s="2" t="inlineStr"/>
    </row>
    <row r="43" ht="15" customHeight="1">
      <c r="A43" t="inlineStr">
        <is>
          <t>A 24193-2025</t>
        </is>
      </c>
      <c r="B43" s="1" t="n">
        <v>45796</v>
      </c>
      <c r="C43" s="1" t="n">
        <v>46205</v>
      </c>
      <c r="D43" t="inlineStr">
        <is>
          <t>STOCKHOLMS LÄN</t>
        </is>
      </c>
      <c r="E43" t="inlineStr">
        <is>
          <t>HANINGE</t>
        </is>
      </c>
      <c r="G43" t="n">
        <v>0.4</v>
      </c>
      <c r="H43" t="n">
        <v>0</v>
      </c>
      <c r="I43" t="n">
        <v>0</v>
      </c>
      <c r="J43" t="n">
        <v>0</v>
      </c>
      <c r="K43" t="n">
        <v>0</v>
      </c>
      <c r="L43" t="n">
        <v>0</v>
      </c>
      <c r="M43" t="n">
        <v>0</v>
      </c>
      <c r="N43" t="n">
        <v>0</v>
      </c>
      <c r="O43" t="n">
        <v>0</v>
      </c>
      <c r="P43" t="n">
        <v>0</v>
      </c>
      <c r="Q43" t="n">
        <v>0</v>
      </c>
      <c r="R43" s="2" t="inlineStr"/>
    </row>
    <row r="44" ht="15" customHeight="1">
      <c r="A44" t="inlineStr">
        <is>
          <t>A 64075-2023</t>
        </is>
      </c>
      <c r="B44" s="1" t="n">
        <v>45279</v>
      </c>
      <c r="C44" s="1" t="n">
        <v>46205</v>
      </c>
      <c r="D44" t="inlineStr">
        <is>
          <t>STOCKHOLMS LÄN</t>
        </is>
      </c>
      <c r="E44" t="inlineStr">
        <is>
          <t>HANINGE</t>
        </is>
      </c>
      <c r="G44" t="n">
        <v>2.6</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46205</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27596-2025</t>
        </is>
      </c>
      <c r="B46" s="1" t="n">
        <v>45813</v>
      </c>
      <c r="C46" s="1" t="n">
        <v>46205</v>
      </c>
      <c r="D46" t="inlineStr">
        <is>
          <t>STOCKHOLMS LÄN</t>
        </is>
      </c>
      <c r="E46" t="inlineStr">
        <is>
          <t>HANINGE</t>
        </is>
      </c>
      <c r="G46" t="n">
        <v>0.1</v>
      </c>
      <c r="H46" t="n">
        <v>0</v>
      </c>
      <c r="I46" t="n">
        <v>0</v>
      </c>
      <c r="J46" t="n">
        <v>0</v>
      </c>
      <c r="K46" t="n">
        <v>0</v>
      </c>
      <c r="L46" t="n">
        <v>0</v>
      </c>
      <c r="M46" t="n">
        <v>0</v>
      </c>
      <c r="N46" t="n">
        <v>0</v>
      </c>
      <c r="O46" t="n">
        <v>0</v>
      </c>
      <c r="P46" t="n">
        <v>0</v>
      </c>
      <c r="Q46" t="n">
        <v>0</v>
      </c>
      <c r="R46" s="2" t="inlineStr"/>
    </row>
    <row r="47" ht="15" customHeight="1">
      <c r="A47" t="inlineStr">
        <is>
          <t>A 14264-2025</t>
        </is>
      </c>
      <c r="B47" s="1" t="n">
        <v>45740</v>
      </c>
      <c r="C47" s="1" t="n">
        <v>46205</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58599-2023</t>
        </is>
      </c>
      <c r="B48" s="1" t="n">
        <v>45251</v>
      </c>
      <c r="C48" s="1" t="n">
        <v>46205</v>
      </c>
      <c r="D48" t="inlineStr">
        <is>
          <t>STOCKHOLMS LÄN</t>
        </is>
      </c>
      <c r="E48" t="inlineStr">
        <is>
          <t>HANINGE</t>
        </is>
      </c>
      <c r="G48" t="n">
        <v>3.2</v>
      </c>
      <c r="H48" t="n">
        <v>0</v>
      </c>
      <c r="I48" t="n">
        <v>0</v>
      </c>
      <c r="J48" t="n">
        <v>0</v>
      </c>
      <c r="K48" t="n">
        <v>0</v>
      </c>
      <c r="L48" t="n">
        <v>0</v>
      </c>
      <c r="M48" t="n">
        <v>0</v>
      </c>
      <c r="N48" t="n">
        <v>0</v>
      </c>
      <c r="O48" t="n">
        <v>0</v>
      </c>
      <c r="P48" t="n">
        <v>0</v>
      </c>
      <c r="Q48" t="n">
        <v>0</v>
      </c>
      <c r="R48" s="2" t="inlineStr"/>
    </row>
    <row r="49" ht="15" customHeight="1">
      <c r="A49" t="inlineStr">
        <is>
          <t>A 18528-2024</t>
        </is>
      </c>
      <c r="B49" s="1" t="n">
        <v>45425</v>
      </c>
      <c r="C49" s="1" t="n">
        <v>46205</v>
      </c>
      <c r="D49" t="inlineStr">
        <is>
          <t>STOCKHOLMS LÄN</t>
        </is>
      </c>
      <c r="E49" t="inlineStr">
        <is>
          <t>HANINGE</t>
        </is>
      </c>
      <c r="F49" t="inlineStr">
        <is>
          <t>Kommuner</t>
        </is>
      </c>
      <c r="G49" t="n">
        <v>0.5</v>
      </c>
      <c r="H49" t="n">
        <v>0</v>
      </c>
      <c r="I49" t="n">
        <v>0</v>
      </c>
      <c r="J49" t="n">
        <v>0</v>
      </c>
      <c r="K49" t="n">
        <v>0</v>
      </c>
      <c r="L49" t="n">
        <v>0</v>
      </c>
      <c r="M49" t="n">
        <v>0</v>
      </c>
      <c r="N49" t="n">
        <v>0</v>
      </c>
      <c r="O49" t="n">
        <v>0</v>
      </c>
      <c r="P49" t="n">
        <v>0</v>
      </c>
      <c r="Q49" t="n">
        <v>0</v>
      </c>
      <c r="R49" s="2" t="inlineStr"/>
    </row>
    <row r="50" ht="15" customHeight="1">
      <c r="A50" t="inlineStr">
        <is>
          <t>A 38595-2021</t>
        </is>
      </c>
      <c r="B50" s="1" t="n">
        <v>44407</v>
      </c>
      <c r="C50" s="1" t="n">
        <v>46205</v>
      </c>
      <c r="D50" t="inlineStr">
        <is>
          <t>STOCKHOLMS LÄN</t>
        </is>
      </c>
      <c r="E50" t="inlineStr">
        <is>
          <t>HANINGE</t>
        </is>
      </c>
      <c r="G50" t="n">
        <v>1.1</v>
      </c>
      <c r="H50" t="n">
        <v>0</v>
      </c>
      <c r="I50" t="n">
        <v>0</v>
      </c>
      <c r="J50" t="n">
        <v>0</v>
      </c>
      <c r="K50" t="n">
        <v>0</v>
      </c>
      <c r="L50" t="n">
        <v>0</v>
      </c>
      <c r="M50" t="n">
        <v>0</v>
      </c>
      <c r="N50" t="n">
        <v>0</v>
      </c>
      <c r="O50" t="n">
        <v>0</v>
      </c>
      <c r="P50" t="n">
        <v>0</v>
      </c>
      <c r="Q50" t="n">
        <v>0</v>
      </c>
      <c r="R50" s="2" t="inlineStr"/>
    </row>
    <row r="51" ht="15" customHeight="1">
      <c r="A51" t="inlineStr">
        <is>
          <t>A 59569-2025</t>
        </is>
      </c>
      <c r="B51" s="1" t="n">
        <v>45991</v>
      </c>
      <c r="C51" s="1" t="n">
        <v>46205</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46205</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22288-2023</t>
        </is>
      </c>
      <c r="B53" s="1" t="n">
        <v>45070</v>
      </c>
      <c r="C53" s="1" t="n">
        <v>46205</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33792-2023</t>
        </is>
      </c>
      <c r="B54" s="1" t="n">
        <v>45121</v>
      </c>
      <c r="C54" s="1" t="n">
        <v>46205</v>
      </c>
      <c r="D54" t="inlineStr">
        <is>
          <t>STOCKHOLMS LÄN</t>
        </is>
      </c>
      <c r="E54" t="inlineStr">
        <is>
          <t>HANINGE</t>
        </is>
      </c>
      <c r="G54" t="n">
        <v>1.4</v>
      </c>
      <c r="H54" t="n">
        <v>0</v>
      </c>
      <c r="I54" t="n">
        <v>0</v>
      </c>
      <c r="J54" t="n">
        <v>0</v>
      </c>
      <c r="K54" t="n">
        <v>0</v>
      </c>
      <c r="L54" t="n">
        <v>0</v>
      </c>
      <c r="M54" t="n">
        <v>0</v>
      </c>
      <c r="N54" t="n">
        <v>0</v>
      </c>
      <c r="O54" t="n">
        <v>0</v>
      </c>
      <c r="P54" t="n">
        <v>0</v>
      </c>
      <c r="Q54" t="n">
        <v>0</v>
      </c>
      <c r="R54" s="2" t="inlineStr"/>
    </row>
    <row r="55" ht="15" customHeight="1">
      <c r="A55" t="inlineStr">
        <is>
          <t>A 20839-2024</t>
        </is>
      </c>
      <c r="B55" s="1" t="n">
        <v>45439</v>
      </c>
      <c r="C55" s="1" t="n">
        <v>46205</v>
      </c>
      <c r="D55" t="inlineStr">
        <is>
          <t>STOCKHOLMS LÄN</t>
        </is>
      </c>
      <c r="E55" t="inlineStr">
        <is>
          <t>HANINGE</t>
        </is>
      </c>
      <c r="G55" t="n">
        <v>8.4</v>
      </c>
      <c r="H55" t="n">
        <v>0</v>
      </c>
      <c r="I55" t="n">
        <v>0</v>
      </c>
      <c r="J55" t="n">
        <v>0</v>
      </c>
      <c r="K55" t="n">
        <v>0</v>
      </c>
      <c r="L55" t="n">
        <v>0</v>
      </c>
      <c r="M55" t="n">
        <v>0</v>
      </c>
      <c r="N55" t="n">
        <v>0</v>
      </c>
      <c r="O55" t="n">
        <v>0</v>
      </c>
      <c r="P55" t="n">
        <v>0</v>
      </c>
      <c r="Q55" t="n">
        <v>0</v>
      </c>
      <c r="R55" s="2" t="inlineStr"/>
    </row>
    <row r="56" ht="15" customHeight="1">
      <c r="A56" t="inlineStr">
        <is>
          <t>A 12787-2026</t>
        </is>
      </c>
      <c r="B56" s="1" t="n">
        <v>46091</v>
      </c>
      <c r="C56" s="1" t="n">
        <v>46205</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12782-2026</t>
        </is>
      </c>
      <c r="B57" s="1" t="n">
        <v>46091</v>
      </c>
      <c r="C57" s="1" t="n">
        <v>46205</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row>
    <row r="58" ht="15" customHeight="1">
      <c r="A58" t="inlineStr">
        <is>
          <t>A 18512-2024</t>
        </is>
      </c>
      <c r="B58" s="1" t="n">
        <v>45425</v>
      </c>
      <c r="C58" s="1" t="n">
        <v>46205</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4297-2024</t>
        </is>
      </c>
      <c r="B59" s="1" t="n">
        <v>45324</v>
      </c>
      <c r="C59" s="1" t="n">
        <v>46205</v>
      </c>
      <c r="D59" t="inlineStr">
        <is>
          <t>STOCKHOLMS LÄN</t>
        </is>
      </c>
      <c r="E59" t="inlineStr">
        <is>
          <t>HANINGE</t>
        </is>
      </c>
      <c r="F59" t="inlineStr">
        <is>
          <t>Kommuner</t>
        </is>
      </c>
      <c r="G59" t="n">
        <v>0.4</v>
      </c>
      <c r="H59" t="n">
        <v>0</v>
      </c>
      <c r="I59" t="n">
        <v>0</v>
      </c>
      <c r="J59" t="n">
        <v>0</v>
      </c>
      <c r="K59" t="n">
        <v>0</v>
      </c>
      <c r="L59" t="n">
        <v>0</v>
      </c>
      <c r="M59" t="n">
        <v>0</v>
      </c>
      <c r="N59" t="n">
        <v>0</v>
      </c>
      <c r="O59" t="n">
        <v>0</v>
      </c>
      <c r="P59" t="n">
        <v>0</v>
      </c>
      <c r="Q59" t="n">
        <v>0</v>
      </c>
      <c r="R59" s="2" t="inlineStr"/>
    </row>
    <row r="60" ht="15" customHeight="1">
      <c r="A60" t="inlineStr">
        <is>
          <t>A 17765-2024</t>
        </is>
      </c>
      <c r="B60" s="1" t="n">
        <v>45418</v>
      </c>
      <c r="C60" s="1" t="n">
        <v>46205</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25584-2023</t>
        </is>
      </c>
      <c r="B61" s="1" t="n">
        <v>45089</v>
      </c>
      <c r="C61" s="1" t="n">
        <v>46205</v>
      </c>
      <c r="D61" t="inlineStr">
        <is>
          <t>STOCKHOLMS LÄN</t>
        </is>
      </c>
      <c r="E61" t="inlineStr">
        <is>
          <t>HANINGE</t>
        </is>
      </c>
      <c r="G61" t="n">
        <v>4.8</v>
      </c>
      <c r="H61" t="n">
        <v>0</v>
      </c>
      <c r="I61" t="n">
        <v>0</v>
      </c>
      <c r="J61" t="n">
        <v>0</v>
      </c>
      <c r="K61" t="n">
        <v>0</v>
      </c>
      <c r="L61" t="n">
        <v>0</v>
      </c>
      <c r="M61" t="n">
        <v>0</v>
      </c>
      <c r="N61" t="n">
        <v>0</v>
      </c>
      <c r="O61" t="n">
        <v>0</v>
      </c>
      <c r="P61" t="n">
        <v>0</v>
      </c>
      <c r="Q61" t="n">
        <v>0</v>
      </c>
      <c r="R61" s="2" t="inlineStr"/>
    </row>
    <row r="62" ht="15" customHeight="1">
      <c r="A62" t="inlineStr">
        <is>
          <t>A 24800-2026</t>
        </is>
      </c>
      <c r="B62" s="1" t="n">
        <v>46171</v>
      </c>
      <c r="C62" s="1" t="n">
        <v>46205</v>
      </c>
      <c r="D62" t="inlineStr">
        <is>
          <t>STOCKHOLMS LÄN</t>
        </is>
      </c>
      <c r="E62" t="inlineStr">
        <is>
          <t>HANINGE</t>
        </is>
      </c>
      <c r="G62" t="n">
        <v>0.4</v>
      </c>
      <c r="H62" t="n">
        <v>0</v>
      </c>
      <c r="I62" t="n">
        <v>0</v>
      </c>
      <c r="J62" t="n">
        <v>0</v>
      </c>
      <c r="K62" t="n">
        <v>0</v>
      </c>
      <c r="L62" t="n">
        <v>0</v>
      </c>
      <c r="M62" t="n">
        <v>0</v>
      </c>
      <c r="N62" t="n">
        <v>0</v>
      </c>
      <c r="O62" t="n">
        <v>0</v>
      </c>
      <c r="P62" t="n">
        <v>0</v>
      </c>
      <c r="Q62" t="n">
        <v>0</v>
      </c>
      <c r="R62" s="2" t="inlineStr"/>
    </row>
    <row r="63" ht="15" customHeight="1">
      <c r="A63" t="inlineStr">
        <is>
          <t>A 24801-2026</t>
        </is>
      </c>
      <c r="B63" s="1" t="n">
        <v>46171</v>
      </c>
      <c r="C63" s="1" t="n">
        <v>46205</v>
      </c>
      <c r="D63" t="inlineStr">
        <is>
          <t>STOCKHOLMS LÄN</t>
        </is>
      </c>
      <c r="E63" t="inlineStr">
        <is>
          <t>HANINGE</t>
        </is>
      </c>
      <c r="G63" t="n">
        <v>7.1</v>
      </c>
      <c r="H63" t="n">
        <v>0</v>
      </c>
      <c r="I63" t="n">
        <v>0</v>
      </c>
      <c r="J63" t="n">
        <v>0</v>
      </c>
      <c r="K63" t="n">
        <v>0</v>
      </c>
      <c r="L63" t="n">
        <v>0</v>
      </c>
      <c r="M63" t="n">
        <v>0</v>
      </c>
      <c r="N63" t="n">
        <v>0</v>
      </c>
      <c r="O63" t="n">
        <v>0</v>
      </c>
      <c r="P63" t="n">
        <v>0</v>
      </c>
      <c r="Q63" t="n">
        <v>0</v>
      </c>
      <c r="R63" s="2" t="inlineStr"/>
    </row>
    <row r="64" ht="15" customHeight="1">
      <c r="A64" t="inlineStr">
        <is>
          <t>A 20527-2025</t>
        </is>
      </c>
      <c r="B64" s="1" t="n">
        <v>45775</v>
      </c>
      <c r="C64" s="1" t="n">
        <v>46205</v>
      </c>
      <c r="D64" t="inlineStr">
        <is>
          <t>STOCKHOLMS LÄN</t>
        </is>
      </c>
      <c r="E64" t="inlineStr">
        <is>
          <t>HANINGE</t>
        </is>
      </c>
      <c r="G64" t="n">
        <v>2.1</v>
      </c>
      <c r="H64" t="n">
        <v>0</v>
      </c>
      <c r="I64" t="n">
        <v>0</v>
      </c>
      <c r="J64" t="n">
        <v>0</v>
      </c>
      <c r="K64" t="n">
        <v>0</v>
      </c>
      <c r="L64" t="n">
        <v>0</v>
      </c>
      <c r="M64" t="n">
        <v>0</v>
      </c>
      <c r="N64" t="n">
        <v>0</v>
      </c>
      <c r="O64" t="n">
        <v>0</v>
      </c>
      <c r="P64" t="n">
        <v>0</v>
      </c>
      <c r="Q64" t="n">
        <v>0</v>
      </c>
      <c r="R64" s="2" t="inlineStr"/>
    </row>
    <row r="65" ht="15" customHeight="1">
      <c r="A65" t="inlineStr">
        <is>
          <t>A 48606-2025</t>
        </is>
      </c>
      <c r="B65" s="1" t="n">
        <v>45936</v>
      </c>
      <c r="C65" s="1" t="n">
        <v>46205</v>
      </c>
      <c r="D65" t="inlineStr">
        <is>
          <t>STOCKHOLMS LÄN</t>
        </is>
      </c>
      <c r="E65" t="inlineStr">
        <is>
          <t>HANINGE</t>
        </is>
      </c>
      <c r="G65" t="n">
        <v>6.9</v>
      </c>
      <c r="H65" t="n">
        <v>0</v>
      </c>
      <c r="I65" t="n">
        <v>0</v>
      </c>
      <c r="J65" t="n">
        <v>0</v>
      </c>
      <c r="K65" t="n">
        <v>0</v>
      </c>
      <c r="L65" t="n">
        <v>0</v>
      </c>
      <c r="M65" t="n">
        <v>0</v>
      </c>
      <c r="N65" t="n">
        <v>0</v>
      </c>
      <c r="O65" t="n">
        <v>0</v>
      </c>
      <c r="P65" t="n">
        <v>0</v>
      </c>
      <c r="Q65" t="n">
        <v>0</v>
      </c>
      <c r="R65" s="2" t="inlineStr"/>
    </row>
    <row r="66" ht="15" customHeight="1">
      <c r="A66" t="inlineStr">
        <is>
          <t>A 32948-2025</t>
        </is>
      </c>
      <c r="B66" s="1" t="n">
        <v>45839</v>
      </c>
      <c r="C66" s="1" t="n">
        <v>46205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1180-2024</t>
        </is>
      </c>
      <c r="B67" s="1" t="n">
        <v>45302</v>
      </c>
      <c r="C67" s="1" t="n">
        <v>46205</v>
      </c>
      <c r="D67" t="inlineStr">
        <is>
          <t>STOCKHOLMS LÄN</t>
        </is>
      </c>
      <c r="E67" t="inlineStr">
        <is>
          <t>HANINGE</t>
        </is>
      </c>
      <c r="G67" t="n">
        <v>2</v>
      </c>
      <c r="H67" t="n">
        <v>0</v>
      </c>
      <c r="I67" t="n">
        <v>0</v>
      </c>
      <c r="J67" t="n">
        <v>0</v>
      </c>
      <c r="K67" t="n">
        <v>0</v>
      </c>
      <c r="L67" t="n">
        <v>0</v>
      </c>
      <c r="M67" t="n">
        <v>0</v>
      </c>
      <c r="N67" t="n">
        <v>0</v>
      </c>
      <c r="O67" t="n">
        <v>0</v>
      </c>
      <c r="P67" t="n">
        <v>0</v>
      </c>
      <c r="Q67" t="n">
        <v>0</v>
      </c>
      <c r="R67" s="2" t="inlineStr"/>
    </row>
    <row r="68" ht="15" customHeight="1">
      <c r="A68" t="inlineStr">
        <is>
          <t>A 19220-2023</t>
        </is>
      </c>
      <c r="B68" s="1" t="n">
        <v>45048</v>
      </c>
      <c r="C68" s="1" t="n">
        <v>46205</v>
      </c>
      <c r="D68" t="inlineStr">
        <is>
          <t>STOCKHOLMS LÄN</t>
        </is>
      </c>
      <c r="E68" t="inlineStr">
        <is>
          <t>HANINGE</t>
        </is>
      </c>
      <c r="G68" t="n">
        <v>1.4</v>
      </c>
      <c r="H68" t="n">
        <v>0</v>
      </c>
      <c r="I68" t="n">
        <v>0</v>
      </c>
      <c r="J68" t="n">
        <v>0</v>
      </c>
      <c r="K68" t="n">
        <v>0</v>
      </c>
      <c r="L68" t="n">
        <v>0</v>
      </c>
      <c r="M68" t="n">
        <v>0</v>
      </c>
      <c r="N68" t="n">
        <v>0</v>
      </c>
      <c r="O68" t="n">
        <v>0</v>
      </c>
      <c r="P68" t="n">
        <v>0</v>
      </c>
      <c r="Q68" t="n">
        <v>0</v>
      </c>
      <c r="R68" s="2" t="inlineStr"/>
    </row>
    <row r="69" ht="15" customHeight="1">
      <c r="A69" t="inlineStr">
        <is>
          <t>A 18490-2025</t>
        </is>
      </c>
      <c r="B69" s="1" t="n">
        <v>45763</v>
      </c>
      <c r="C69" s="1" t="n">
        <v>46205</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52770-2024</t>
        </is>
      </c>
      <c r="B70" s="1" t="n">
        <v>45610</v>
      </c>
      <c r="C70" s="1" t="n">
        <v>46205</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row>
    <row r="71" ht="15" customHeight="1">
      <c r="A71" t="inlineStr">
        <is>
          <t>A 64568-2023</t>
        </is>
      </c>
      <c r="B71" s="1" t="n">
        <v>45281</v>
      </c>
      <c r="C71" s="1" t="n">
        <v>46205</v>
      </c>
      <c r="D71" t="inlineStr">
        <is>
          <t>STOCKHOLMS LÄN</t>
        </is>
      </c>
      <c r="E71" t="inlineStr">
        <is>
          <t>HANINGE</t>
        </is>
      </c>
      <c r="G71" t="n">
        <v>3.1</v>
      </c>
      <c r="H71" t="n">
        <v>0</v>
      </c>
      <c r="I71" t="n">
        <v>0</v>
      </c>
      <c r="J71" t="n">
        <v>0</v>
      </c>
      <c r="K71" t="n">
        <v>0</v>
      </c>
      <c r="L71" t="n">
        <v>0</v>
      </c>
      <c r="M71" t="n">
        <v>0</v>
      </c>
      <c r="N71" t="n">
        <v>0</v>
      </c>
      <c r="O71" t="n">
        <v>0</v>
      </c>
      <c r="P71" t="n">
        <v>0</v>
      </c>
      <c r="Q71" t="n">
        <v>0</v>
      </c>
      <c r="R71" s="2" t="inlineStr"/>
    </row>
    <row r="72" ht="15" customHeight="1">
      <c r="A72" t="inlineStr">
        <is>
          <t>A 26886-2026</t>
        </is>
      </c>
      <c r="B72" s="1" t="n">
        <v>46185</v>
      </c>
      <c r="C72" s="1" t="n">
        <v>46205</v>
      </c>
      <c r="D72" t="inlineStr">
        <is>
          <t>STOCKHOLMS LÄN</t>
        </is>
      </c>
      <c r="E72" t="inlineStr">
        <is>
          <t>HANINGE</t>
        </is>
      </c>
      <c r="G72" t="n">
        <v>0.8</v>
      </c>
      <c r="H72" t="n">
        <v>0</v>
      </c>
      <c r="I72" t="n">
        <v>0</v>
      </c>
      <c r="J72" t="n">
        <v>0</v>
      </c>
      <c r="K72" t="n">
        <v>0</v>
      </c>
      <c r="L72" t="n">
        <v>0</v>
      </c>
      <c r="M72" t="n">
        <v>0</v>
      </c>
      <c r="N72" t="n">
        <v>0</v>
      </c>
      <c r="O72" t="n">
        <v>0</v>
      </c>
      <c r="P72" t="n">
        <v>0</v>
      </c>
      <c r="Q72" t="n">
        <v>0</v>
      </c>
      <c r="R72" s="2" t="inlineStr"/>
    </row>
    <row r="73" ht="15" customHeight="1">
      <c r="A73" t="inlineStr">
        <is>
          <t>A 18548-2024</t>
        </is>
      </c>
      <c r="B73" s="1" t="n">
        <v>45425</v>
      </c>
      <c r="C73" s="1" t="n">
        <v>46205</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46205</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26417-2026</t>
        </is>
      </c>
      <c r="B75" s="1" t="n">
        <v>46183</v>
      </c>
      <c r="C75" s="1" t="n">
        <v>46205</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46205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13046-2022</t>
        </is>
      </c>
      <c r="B77" s="1" t="n">
        <v>44643</v>
      </c>
      <c r="C77" s="1" t="n">
        <v>46205</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row>
    <row r="78" ht="15" customHeight="1">
      <c r="A78" t="inlineStr">
        <is>
          <t>A 8078-2024</t>
        </is>
      </c>
      <c r="B78" s="1" t="n">
        <v>45351</v>
      </c>
      <c r="C78" s="1" t="n">
        <v>46205</v>
      </c>
      <c r="D78" t="inlineStr">
        <is>
          <t>STOCKHOLMS LÄN</t>
        </is>
      </c>
      <c r="E78" t="inlineStr">
        <is>
          <t>HANINGE</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24873-2023</t>
        </is>
      </c>
      <c r="B79" s="1" t="n">
        <v>45085</v>
      </c>
      <c r="C79" s="1" t="n">
        <v>46205</v>
      </c>
      <c r="D79" t="inlineStr">
        <is>
          <t>STOCKHOLMS LÄN</t>
        </is>
      </c>
      <c r="E79" t="inlineStr">
        <is>
          <t>HANINGE</t>
        </is>
      </c>
      <c r="G79" t="n">
        <v>1.9</v>
      </c>
      <c r="H79" t="n">
        <v>0</v>
      </c>
      <c r="I79" t="n">
        <v>0</v>
      </c>
      <c r="J79" t="n">
        <v>0</v>
      </c>
      <c r="K79" t="n">
        <v>0</v>
      </c>
      <c r="L79" t="n">
        <v>0</v>
      </c>
      <c r="M79" t="n">
        <v>0</v>
      </c>
      <c r="N79" t="n">
        <v>0</v>
      </c>
      <c r="O79" t="n">
        <v>0</v>
      </c>
      <c r="P79" t="n">
        <v>0</v>
      </c>
      <c r="Q79" t="n">
        <v>0</v>
      </c>
      <c r="R79" s="2" t="inlineStr"/>
    </row>
    <row r="80" ht="15" customHeight="1">
      <c r="A80" t="inlineStr">
        <is>
          <t>A 23666-2024</t>
        </is>
      </c>
      <c r="B80" s="1" t="n">
        <v>45454</v>
      </c>
      <c r="C80" s="1" t="n">
        <v>46205</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9946-2024</t>
        </is>
      </c>
      <c r="B81" s="1" t="n">
        <v>45363</v>
      </c>
      <c r="C81" s="1" t="n">
        <v>46205</v>
      </c>
      <c r="D81" t="inlineStr">
        <is>
          <t>STOCKHOLMS LÄN</t>
        </is>
      </c>
      <c r="E81" t="inlineStr">
        <is>
          <t>HANINGE</t>
        </is>
      </c>
      <c r="G81" t="n">
        <v>3.8</v>
      </c>
      <c r="H81" t="n">
        <v>0</v>
      </c>
      <c r="I81" t="n">
        <v>0</v>
      </c>
      <c r="J81" t="n">
        <v>0</v>
      </c>
      <c r="K81" t="n">
        <v>0</v>
      </c>
      <c r="L81" t="n">
        <v>0</v>
      </c>
      <c r="M81" t="n">
        <v>0</v>
      </c>
      <c r="N81" t="n">
        <v>0</v>
      </c>
      <c r="O81" t="n">
        <v>0</v>
      </c>
      <c r="P81" t="n">
        <v>0</v>
      </c>
      <c r="Q81" t="n">
        <v>0</v>
      </c>
      <c r="R81" s="2" t="inlineStr"/>
    </row>
    <row r="82" ht="15" customHeight="1">
      <c r="A82" t="inlineStr">
        <is>
          <t>A 52836-2024</t>
        </is>
      </c>
      <c r="B82" s="1" t="n">
        <v>45610</v>
      </c>
      <c r="C82" s="1" t="n">
        <v>46205</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5474-2024</t>
        </is>
      </c>
      <c r="B83" s="1" t="n">
        <v>45333</v>
      </c>
      <c r="C83" s="1" t="n">
        <v>46205</v>
      </c>
      <c r="D83" t="inlineStr">
        <is>
          <t>STOCKHOLMS LÄN</t>
        </is>
      </c>
      <c r="E83" t="inlineStr">
        <is>
          <t>HANINGE</t>
        </is>
      </c>
      <c r="F83" t="inlineStr">
        <is>
          <t>Kommuner</t>
        </is>
      </c>
      <c r="G83" t="n">
        <v>0.9</v>
      </c>
      <c r="H83" t="n">
        <v>0</v>
      </c>
      <c r="I83" t="n">
        <v>0</v>
      </c>
      <c r="J83" t="n">
        <v>0</v>
      </c>
      <c r="K83" t="n">
        <v>0</v>
      </c>
      <c r="L83" t="n">
        <v>0</v>
      </c>
      <c r="M83" t="n">
        <v>0</v>
      </c>
      <c r="N83" t="n">
        <v>0</v>
      </c>
      <c r="O83" t="n">
        <v>0</v>
      </c>
      <c r="P83" t="n">
        <v>0</v>
      </c>
      <c r="Q83" t="n">
        <v>0</v>
      </c>
      <c r="R83" s="2" t="inlineStr"/>
    </row>
    <row r="84">
      <c r="A84" t="inlineStr">
        <is>
          <t>A 14900-2025</t>
        </is>
      </c>
      <c r="B84" s="1" t="n">
        <v>45743</v>
      </c>
      <c r="C84" s="1" t="n">
        <v>46205</v>
      </c>
      <c r="D84" t="inlineStr">
        <is>
          <t>STOCKHOLMS LÄN</t>
        </is>
      </c>
      <c r="E84" t="inlineStr">
        <is>
          <t>HANINGE</t>
        </is>
      </c>
      <c r="G84" t="n">
        <v>4.5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2026-07-02T00:58:42Z</dcterms:created>
  <dcterms:modified xmlns:dcterms="http://purl.org/dc/terms/" xmlns:xsi="http://www.w3.org/2001/XMLSchema-instance" xsi:type="dcterms:W3CDTF">2026-07-02T00:58:42Z</dcterms:modified>
</cp:coreProperties>
</file>