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45850</v>
      </c>
      <c r="D2" t="inlineStr">
        <is>
          <t>STOCKHOLMS LÄN</t>
        </is>
      </c>
      <c r="E2" t="inlineStr">
        <is>
          <t>HANINGE</t>
        </is>
      </c>
      <c r="G2" t="n">
        <v>10.3</v>
      </c>
      <c r="H2" t="n">
        <v>7</v>
      </c>
      <c r="I2" t="n">
        <v>20</v>
      </c>
      <c r="J2" t="n">
        <v>8</v>
      </c>
      <c r="K2" t="n">
        <v>2</v>
      </c>
      <c r="L2" t="n">
        <v>1</v>
      </c>
      <c r="M2" t="n">
        <v>1</v>
      </c>
      <c r="N2" t="n">
        <v>0</v>
      </c>
      <c r="O2" t="n">
        <v>12</v>
      </c>
      <c r="P2" t="n">
        <v>4</v>
      </c>
      <c r="Q2" t="n">
        <v>36</v>
      </c>
      <c r="R2" s="2" t="inlineStr">
        <is>
          <t>Skogsalm
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45850</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45850</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45850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45850</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45850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45850</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45850</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45850</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3152-2025</t>
        </is>
      </c>
      <c r="B11" s="1" t="n">
        <v>45679</v>
      </c>
      <c r="C11" s="1" t="n">
        <v>45850</v>
      </c>
      <c r="D11" t="inlineStr">
        <is>
          <t>STOCKHOLMS LÄN</t>
        </is>
      </c>
      <c r="E11" t="inlineStr">
        <is>
          <t>HANINGE</t>
        </is>
      </c>
      <c r="G11" t="n">
        <v>2.2</v>
      </c>
      <c r="H11" t="n">
        <v>9</v>
      </c>
      <c r="I11" t="n">
        <v>6</v>
      </c>
      <c r="J11" t="n">
        <v>3</v>
      </c>
      <c r="K11" t="n">
        <v>1</v>
      </c>
      <c r="L11" t="n">
        <v>0</v>
      </c>
      <c r="M11" t="n">
        <v>0</v>
      </c>
      <c r="N11" t="n">
        <v>0</v>
      </c>
      <c r="O11" t="n">
        <v>4</v>
      </c>
      <c r="P11" t="n">
        <v>1</v>
      </c>
      <c r="Q11" t="n">
        <v>14</v>
      </c>
      <c r="R11" s="2" t="inlineStr">
        <is>
          <t>Knärot
Blå taggsvamp
Talltita
Vedtrappmossa
Blåmossa
Grön sköldmossa
Grönpyrola
Mindre märgborre
Plattlummer
Spindelblomster
Vanlig padda
Fläcknycklar
Mattlummer
Revlummer</t>
        </is>
      </c>
      <c r="S11">
        <f>HYPERLINK("https://klasma.github.io/Logging_0136/artfynd/A 3152-2025 artfynd.xlsx", "A 3152-2025")</f>
        <v/>
      </c>
      <c r="T11">
        <f>HYPERLINK("https://klasma.github.io/Logging_0136/kartor/A 3152-2025 karta.png", "A 3152-2025")</f>
        <v/>
      </c>
      <c r="U11">
        <f>HYPERLINK("https://klasma.github.io/Logging_0136/knärot/A 3152-2025 karta knärot.png", "A 3152-2025")</f>
        <v/>
      </c>
      <c r="V11">
        <f>HYPERLINK("https://klasma.github.io/Logging_0136/klagomål/A 3152-2025 FSC-klagomål.docx", "A 3152-2025")</f>
        <v/>
      </c>
      <c r="W11">
        <f>HYPERLINK("https://klasma.github.io/Logging_0136/klagomålsmail/A 3152-2025 FSC-klagomål mail.docx", "A 3152-2025")</f>
        <v/>
      </c>
      <c r="X11">
        <f>HYPERLINK("https://klasma.github.io/Logging_0136/tillsyn/A 3152-2025 tillsynsbegäran.docx", "A 3152-2025")</f>
        <v/>
      </c>
      <c r="Y11">
        <f>HYPERLINK("https://klasma.github.io/Logging_0136/tillsynsmail/A 3152-2025 tillsynsbegäran mail.docx", "A 3152-2025")</f>
        <v/>
      </c>
      <c r="Z11">
        <f>HYPERLINK("https://klasma.github.io/Logging_0136/fåglar/A 3152-2025 prioriterade fågelarter.docx", "A 3152-2025")</f>
        <v/>
      </c>
    </row>
    <row r="12" ht="15" customHeight="1">
      <c r="A12" t="inlineStr">
        <is>
          <t>A 34343-2023</t>
        </is>
      </c>
      <c r="B12" s="1" t="n">
        <v>45139</v>
      </c>
      <c r="C12" s="1" t="n">
        <v>45850</v>
      </c>
      <c r="D12" t="inlineStr">
        <is>
          <t>STOCKHOLMS LÄN</t>
        </is>
      </c>
      <c r="E12" t="inlineStr">
        <is>
          <t>HANINGE</t>
        </is>
      </c>
      <c r="G12" t="n">
        <v>3.9</v>
      </c>
      <c r="H12" t="n">
        <v>3</v>
      </c>
      <c r="I12" t="n">
        <v>7</v>
      </c>
      <c r="J12" t="n">
        <v>3</v>
      </c>
      <c r="K12" t="n">
        <v>0</v>
      </c>
      <c r="L12" t="n">
        <v>1</v>
      </c>
      <c r="M12" t="n">
        <v>0</v>
      </c>
      <c r="N12" t="n">
        <v>0</v>
      </c>
      <c r="O12" t="n">
        <v>4</v>
      </c>
      <c r="P12" t="n">
        <v>1</v>
      </c>
      <c r="Q12" t="n">
        <v>13</v>
      </c>
      <c r="R12" s="2" t="inlineStr">
        <is>
          <t>Ask
Granticka
Grön aspvedbock
Spillkråka
Björksplintborre
Fjällig taggsvamp s.str.
Granbarkgnagare
Guldlockmossa
Stubbspretmossa
Sårläka
Vågbandad barkbock
Blåsippa
Gullviva</t>
        </is>
      </c>
      <c r="S12">
        <f>HYPERLINK("https://klasma.github.io/Logging_0136/artfynd/A 34343-2023 artfynd.xlsx", "A 34343-2023")</f>
        <v/>
      </c>
      <c r="T12">
        <f>HYPERLINK("https://klasma.github.io/Logging_0136/kartor/A 34343-2023 karta.png", "A 34343-2023")</f>
        <v/>
      </c>
      <c r="V12">
        <f>HYPERLINK("https://klasma.github.io/Logging_0136/klagomål/A 34343-2023 FSC-klagomål.docx", "A 34343-2023")</f>
        <v/>
      </c>
      <c r="W12">
        <f>HYPERLINK("https://klasma.github.io/Logging_0136/klagomålsmail/A 34343-2023 FSC-klagomål mail.docx", "A 34343-2023")</f>
        <v/>
      </c>
      <c r="X12">
        <f>HYPERLINK("https://klasma.github.io/Logging_0136/tillsyn/A 34343-2023 tillsynsbegäran.docx", "A 34343-2023")</f>
        <v/>
      </c>
      <c r="Y12">
        <f>HYPERLINK("https://klasma.github.io/Logging_0136/tillsynsmail/A 34343-2023 tillsynsbegäran mail.docx", "A 34343-2023")</f>
        <v/>
      </c>
      <c r="Z12">
        <f>HYPERLINK("https://klasma.github.io/Logging_0136/fåglar/A 34343-2023 prioriterade fågelarter.docx", "A 34343-2023")</f>
        <v/>
      </c>
    </row>
    <row r="13" ht="15" customHeight="1">
      <c r="A13" t="inlineStr">
        <is>
          <t>A 40859-2022</t>
        </is>
      </c>
      <c r="B13" s="1" t="n">
        <v>44825</v>
      </c>
      <c r="C13" s="1" t="n">
        <v>45850</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45850</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45850</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45850</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45850</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45850</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45850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45850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45850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45850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45850</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45850</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45850</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45850</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45850</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45850</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45850</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45850</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45850</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45850</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45850</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45850</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45850</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45850</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45850</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45850</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45850</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45850</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45850</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45850</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45850</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45850</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45850</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45850</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45850</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45850</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45850</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45850</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45850</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45850</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45850</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45850</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45850</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45850</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45850</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45850</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45850</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45850</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45850</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45850</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45850</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45850</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45850</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45850</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45850</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45850</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45850</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45850</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45850</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45850</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45850</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45850</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45850</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45850</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45850</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45850</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45850</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45850</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45850</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45850</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45850</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45850</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45850</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45850</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45850</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45850</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45850</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45850</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45850</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45850</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45850</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45850</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45850</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45850</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45850</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45850</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45850</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45850</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45850</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45850</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45850</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45850</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45850</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45850</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45850</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45850</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45850</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45850</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45850</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45850</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45850</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45850</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45850</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45850</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45850</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45850</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45850</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45850</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45850</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45850</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45850</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45850</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45850</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45850</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45850</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45850</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45850</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45850</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45850</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45850</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45850</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45850</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45850</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45850</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45850</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45850</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45850</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45850</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45850</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45850</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45850</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45850</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45850</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45850</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45850</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45850</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45850</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45850</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45850</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45850</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45850</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45850</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45850</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45850</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45850</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45850</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45850</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45850</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45850</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45850</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45850</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45850</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45850</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45850</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45850</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ht="15" customHeight="1">
      <c r="A168" t="inlineStr">
        <is>
          <t>A 27596-2025</t>
        </is>
      </c>
      <c r="B168" s="1" t="n">
        <v>45813</v>
      </c>
      <c r="C168" s="1" t="n">
        <v>45850</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row r="169" ht="15" customHeight="1">
      <c r="A169" t="inlineStr">
        <is>
          <t>A 32954-2025</t>
        </is>
      </c>
      <c r="B169" s="1" t="n">
        <v>45839</v>
      </c>
      <c r="C169" s="1" t="n">
        <v>45850</v>
      </c>
      <c r="D169" t="inlineStr">
        <is>
          <t>STOCKHOLMS LÄN</t>
        </is>
      </c>
      <c r="E169" t="inlineStr">
        <is>
          <t>HANINGE</t>
        </is>
      </c>
      <c r="G169" t="n">
        <v>1.6</v>
      </c>
      <c r="H169" t="n">
        <v>0</v>
      </c>
      <c r="I169" t="n">
        <v>0</v>
      </c>
      <c r="J169" t="n">
        <v>0</v>
      </c>
      <c r="K169" t="n">
        <v>0</v>
      </c>
      <c r="L169" t="n">
        <v>0</v>
      </c>
      <c r="M169" t="n">
        <v>0</v>
      </c>
      <c r="N169" t="n">
        <v>0</v>
      </c>
      <c r="O169" t="n">
        <v>0</v>
      </c>
      <c r="P169" t="n">
        <v>0</v>
      </c>
      <c r="Q169" t="n">
        <v>0</v>
      </c>
      <c r="R169" s="2" t="inlineStr"/>
    </row>
    <row r="170" ht="15" customHeight="1">
      <c r="A170" t="inlineStr">
        <is>
          <t>A 32952-2025</t>
        </is>
      </c>
      <c r="B170" s="1" t="n">
        <v>45839</v>
      </c>
      <c r="C170" s="1" t="n">
        <v>45850</v>
      </c>
      <c r="D170" t="inlineStr">
        <is>
          <t>STOCKHOLMS LÄN</t>
        </is>
      </c>
      <c r="E170" t="inlineStr">
        <is>
          <t>HANINGE</t>
        </is>
      </c>
      <c r="G170" t="n">
        <v>1.3</v>
      </c>
      <c r="H170" t="n">
        <v>0</v>
      </c>
      <c r="I170" t="n">
        <v>0</v>
      </c>
      <c r="J170" t="n">
        <v>0</v>
      </c>
      <c r="K170" t="n">
        <v>0</v>
      </c>
      <c r="L170" t="n">
        <v>0</v>
      </c>
      <c r="M170" t="n">
        <v>0</v>
      </c>
      <c r="N170" t="n">
        <v>0</v>
      </c>
      <c r="O170" t="n">
        <v>0</v>
      </c>
      <c r="P170" t="n">
        <v>0</v>
      </c>
      <c r="Q170" t="n">
        <v>0</v>
      </c>
      <c r="R170" s="2" t="inlineStr"/>
    </row>
    <row r="171">
      <c r="A171" t="inlineStr">
        <is>
          <t>A 32948-2025</t>
        </is>
      </c>
      <c r="B171" s="1" t="n">
        <v>45839</v>
      </c>
      <c r="C171" s="1" t="n">
        <v>45850</v>
      </c>
      <c r="D171" t="inlineStr">
        <is>
          <t>STOCKHOLMS LÄN</t>
        </is>
      </c>
      <c r="E171" t="inlineStr">
        <is>
          <t>HANINGE</t>
        </is>
      </c>
      <c r="G171" t="n">
        <v>1.1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2025-07-12T19:19:31Z</dcterms:created>
  <dcterms:modified xmlns:dcterms="http://purl.org/dc/terms/" xmlns:xsi="http://www.w3.org/2001/XMLSchema-instance" xsi:type="dcterms:W3CDTF">2025-07-12T19:19:31Z</dcterms:modified>
</cp:coreProperties>
</file>