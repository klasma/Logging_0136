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46256</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46256</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46256</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46256</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46256</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46256</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46256</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46256</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46256</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46256</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46256</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46256</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46256</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46256</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46256</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46256</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46256</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46256</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46256</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46256</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46256</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46256</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46256</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46256</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46256</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46256</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46256</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46256</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46256</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46256</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46256</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46256</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46256</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46256</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46256</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46256</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46256</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46256</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46256</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13135-2022</t>
        </is>
      </c>
      <c r="B43" t="inlineStr">
        <is>
          <t>avverkningsanmälan</t>
        </is>
      </c>
      <c r="C43" t="inlineStr">
        <is>
          <t>Föryngringsavverkning</t>
        </is>
      </c>
      <c r="D43" s="1" t="n">
        <v>44643</v>
      </c>
      <c r="E43" s="1" t="n">
        <v>46256</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46256</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27596-2025</t>
        </is>
      </c>
      <c r="B45" t="inlineStr">
        <is>
          <t>avverkningsanmälan</t>
        </is>
      </c>
      <c r="C45" t="inlineStr">
        <is>
          <t>Avverkning för att bevara och utveckla /försöksver</t>
        </is>
      </c>
      <c r="D45" s="1" t="n">
        <v>45813</v>
      </c>
      <c r="E45" s="1" t="n">
        <v>46256</v>
      </c>
      <c r="F45" t="inlineStr">
        <is>
          <t>STOCKHOLMS LÄN</t>
        </is>
      </c>
      <c r="G45" t="inlineStr">
        <is>
          <t>HANINGE</t>
        </is>
      </c>
      <c r="I45" t="n">
        <v>0.1</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46256</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9946-2024</t>
        </is>
      </c>
      <c r="B47" t="inlineStr">
        <is>
          <t>avverkningsanmälan</t>
        </is>
      </c>
      <c r="C47" t="inlineStr">
        <is>
          <t>Föryngringsavverkning</t>
        </is>
      </c>
      <c r="D47" s="1" t="n">
        <v>45363</v>
      </c>
      <c r="E47" s="1" t="n">
        <v>46256</v>
      </c>
      <c r="F47" t="inlineStr">
        <is>
          <t>STOCKHOLMS LÄN</t>
        </is>
      </c>
      <c r="G47" t="inlineStr">
        <is>
          <t>HANINGE</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46256</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18490-2025</t>
        </is>
      </c>
      <c r="B49" t="inlineStr">
        <is>
          <t>avverkningsanmälan</t>
        </is>
      </c>
      <c r="C49" t="inlineStr">
        <is>
          <t>Föryngringsavverkning</t>
        </is>
      </c>
      <c r="D49" s="1" t="n">
        <v>45763</v>
      </c>
      <c r="E49" s="1" t="n">
        <v>46256</v>
      </c>
      <c r="F49" t="inlineStr">
        <is>
          <t>STOCKHOLMS LÄN</t>
        </is>
      </c>
      <c r="G49" t="inlineStr">
        <is>
          <t>HANINGE</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18548-2024</t>
        </is>
      </c>
      <c r="B50" t="inlineStr">
        <is>
          <t>avverkningsanmälan</t>
        </is>
      </c>
      <c r="C50" t="inlineStr">
        <is>
          <t>Föryngringsavverkning</t>
        </is>
      </c>
      <c r="D50" s="1" t="n">
        <v>45425</v>
      </c>
      <c r="E50" s="1" t="n">
        <v>46256</v>
      </c>
      <c r="F50" t="inlineStr">
        <is>
          <t>STOCKHOLMS LÄN</t>
        </is>
      </c>
      <c r="G50" t="inlineStr">
        <is>
          <t>HANINGE</t>
        </is>
      </c>
      <c r="H50" t="inlineStr">
        <is>
          <t>Kommuner</t>
        </is>
      </c>
      <c r="I50" t="n">
        <v>7.3</v>
      </c>
      <c r="J50" t="n">
        <v>0</v>
      </c>
      <c r="K50" t="n">
        <v>0</v>
      </c>
      <c r="L50" t="n">
        <v>0</v>
      </c>
      <c r="M50" t="n">
        <v>0</v>
      </c>
      <c r="N50" t="n">
        <v>0</v>
      </c>
      <c r="O50" t="n">
        <v>0</v>
      </c>
      <c r="P50" t="n">
        <v>0</v>
      </c>
      <c r="Q50" t="n">
        <v>0</v>
      </c>
      <c r="R50" t="n">
        <v>0</v>
      </c>
      <c r="S50" t="n">
        <v>0</v>
      </c>
      <c r="T50" t="n">
        <v>0</v>
      </c>
      <c r="U50" t="n">
        <v>0</v>
      </c>
      <c r="V50" s="2" t="inlineStr"/>
    </row>
    <row r="51" ht="15" customHeight="1">
      <c r="A51" t="inlineStr">
        <is>
          <t>A 20839-2024</t>
        </is>
      </c>
      <c r="B51" t="inlineStr">
        <is>
          <t>avverkningsanmälan</t>
        </is>
      </c>
      <c r="C51" t="inlineStr">
        <is>
          <t>Föryngringsavverkning</t>
        </is>
      </c>
      <c r="D51" s="1" t="n">
        <v>45439</v>
      </c>
      <c r="E51" s="1" t="n">
        <v>46256</v>
      </c>
      <c r="F51" t="inlineStr">
        <is>
          <t>STOCKHOLMS LÄN</t>
        </is>
      </c>
      <c r="G51" t="inlineStr">
        <is>
          <t>HANINGE</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13046-2022</t>
        </is>
      </c>
      <c r="B52" t="inlineStr">
        <is>
          <t>avverkningsanmälan</t>
        </is>
      </c>
      <c r="C52" t="inlineStr">
        <is>
          <t>Föryngringsavverkning</t>
        </is>
      </c>
      <c r="D52" s="1" t="n">
        <v>44643</v>
      </c>
      <c r="E52" s="1" t="n">
        <v>46256</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5474-2024</t>
        </is>
      </c>
      <c r="B53" t="inlineStr">
        <is>
          <t>avverkningsanmälan</t>
        </is>
      </c>
      <c r="C53" t="inlineStr">
        <is>
          <t>Föryngringsavverkning</t>
        </is>
      </c>
      <c r="D53" s="1" t="n">
        <v>45333</v>
      </c>
      <c r="E53" s="1" t="n">
        <v>46256</v>
      </c>
      <c r="F53" t="inlineStr">
        <is>
          <t>STOCKHOLMS LÄN</t>
        </is>
      </c>
      <c r="G53" t="inlineStr">
        <is>
          <t>HANINGE</t>
        </is>
      </c>
      <c r="H53" t="inlineStr">
        <is>
          <t>Kommuner</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23666-2024</t>
        </is>
      </c>
      <c r="B54" t="inlineStr">
        <is>
          <t>avverkningsanmälan</t>
        </is>
      </c>
      <c r="C54" t="inlineStr">
        <is>
          <t>Föryngringsavverkning</t>
        </is>
      </c>
      <c r="D54" s="1" t="n">
        <v>45454</v>
      </c>
      <c r="E54" s="1" t="n">
        <v>46256</v>
      </c>
      <c r="F54" t="inlineStr">
        <is>
          <t>STOCKHOLMS LÄN</t>
        </is>
      </c>
      <c r="G54" t="inlineStr">
        <is>
          <t>HANINGE</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50306-2023</t>
        </is>
      </c>
      <c r="B55" t="inlineStr">
        <is>
          <t>avverkningsanmälan</t>
        </is>
      </c>
      <c r="C55" t="inlineStr">
        <is>
          <t>Föryngringsavverkning</t>
        </is>
      </c>
      <c r="D55" s="1" t="n">
        <v>45209</v>
      </c>
      <c r="E55" s="1" t="n">
        <v>46256</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c r="Z55">
        <f>HYPERLINK("https://klasma.github.io/Logging_0136/knärot/A 50306-2023 karta knärot.png", "A 50306-2023")</f>
        <v/>
      </c>
      <c r="AA55">
        <f>HYPERLINK("https://klasma.github.io/Logging_0136/klagomål/A 50306-2023 FSC-klagomål.docx", "A 50306-2023")</f>
        <v/>
      </c>
      <c r="AB55">
        <f>HYPERLINK("https://klasma.github.io/Logging_0136/klagomålsmail/A 50306-2023 FSC-klagomål mail.docx", "A 50306-2023")</f>
        <v/>
      </c>
      <c r="AC55">
        <f>HYPERLINK("https://klasma.github.io/Logging_0136/tillsyn/A 50306-2023 tillsynsbegäran.docx", "A 50306-2023")</f>
        <v/>
      </c>
      <c r="AD55">
        <f>HYPERLINK("https://klasma.github.io/Logging_0136/tillsynsmail/A 50306-2023 tillsynsbegäran mail.docx", "A 50306-2023")</f>
        <v/>
      </c>
    </row>
    <row r="56" ht="15" customHeight="1">
      <c r="A56" t="inlineStr">
        <is>
          <t>A 68896-2021</t>
        </is>
      </c>
      <c r="B56" t="inlineStr">
        <is>
          <t>avverkningsanmälan</t>
        </is>
      </c>
      <c r="C56" t="inlineStr">
        <is>
          <t>Föryngringsavverkning</t>
        </is>
      </c>
      <c r="D56" s="1" t="n">
        <v>44526</v>
      </c>
      <c r="E56" s="1" t="n">
        <v>46256</v>
      </c>
      <c r="F56" t="inlineStr">
        <is>
          <t>STOCKHOLMS LÄN</t>
        </is>
      </c>
      <c r="G56" t="inlineStr">
        <is>
          <t>HANINGE</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22288-2023</t>
        </is>
      </c>
      <c r="B57" t="inlineStr">
        <is>
          <t>avverkningsanmälan</t>
        </is>
      </c>
      <c r="C57" t="inlineStr">
        <is>
          <t>Föryngringsavverkning</t>
        </is>
      </c>
      <c r="D57" s="1" t="n">
        <v>45070</v>
      </c>
      <c r="E57" s="1" t="n">
        <v>46256</v>
      </c>
      <c r="F57" t="inlineStr">
        <is>
          <t>STOCKHOLMS LÄN</t>
        </is>
      </c>
      <c r="G57" t="inlineStr">
        <is>
          <t>HANINGE</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46256</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33792-2023</t>
        </is>
      </c>
      <c r="B59" t="inlineStr">
        <is>
          <t>avverkningsanmälan</t>
        </is>
      </c>
      <c r="C59" t="inlineStr">
        <is>
          <t>Föryngringsavverkning</t>
        </is>
      </c>
      <c r="D59" s="1" t="n">
        <v>45121</v>
      </c>
      <c r="E59" s="1" t="n">
        <v>46256</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14900-2025</t>
        </is>
      </c>
      <c r="B60" t="inlineStr">
        <is>
          <t>avverkningsanmälan</t>
        </is>
      </c>
      <c r="C60" t="inlineStr">
        <is>
          <t>Föryngringsavverkning</t>
        </is>
      </c>
      <c r="D60" s="1" t="n">
        <v>45743</v>
      </c>
      <c r="E60" s="1" t="n">
        <v>46256</v>
      </c>
      <c r="F60" t="inlineStr">
        <is>
          <t>STOCKHOLMS LÄN</t>
        </is>
      </c>
      <c r="G60" t="inlineStr">
        <is>
          <t>HANINGE</t>
        </is>
      </c>
      <c r="I60" t="n">
        <v>4.5</v>
      </c>
      <c r="J60" t="n">
        <v>0</v>
      </c>
      <c r="K60" t="n">
        <v>0</v>
      </c>
      <c r="L60" t="n">
        <v>0</v>
      </c>
      <c r="M60" t="n">
        <v>0</v>
      </c>
      <c r="N60" t="n">
        <v>0</v>
      </c>
      <c r="O60" t="n">
        <v>0</v>
      </c>
      <c r="P60" t="n">
        <v>0</v>
      </c>
      <c r="Q60" t="n">
        <v>0</v>
      </c>
      <c r="R60" t="n">
        <v>0</v>
      </c>
      <c r="S60" t="n">
        <v>0</v>
      </c>
      <c r="T60" t="n">
        <v>0</v>
      </c>
      <c r="U60" t="n">
        <v>0</v>
      </c>
      <c r="V60" s="2" t="inlineStr"/>
    </row>
    <row r="61" ht="15" customHeight="1">
      <c r="A61" t="inlineStr">
        <is>
          <t>A 20527-2025</t>
        </is>
      </c>
      <c r="B61" t="inlineStr">
        <is>
          <t>avverkningsanmälan</t>
        </is>
      </c>
      <c r="C61" t="inlineStr">
        <is>
          <t>Föryngringsavverkning</t>
        </is>
      </c>
      <c r="D61" s="1" t="n">
        <v>45775</v>
      </c>
      <c r="E61" s="1" t="n">
        <v>46256</v>
      </c>
      <c r="F61" t="inlineStr">
        <is>
          <t>STOCKHOLMS LÄN</t>
        </is>
      </c>
      <c r="G61" t="inlineStr">
        <is>
          <t>HANINGE</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64568-2023</t>
        </is>
      </c>
      <c r="B62" t="inlineStr">
        <is>
          <t>avverkningsanmälan</t>
        </is>
      </c>
      <c r="C62" t="inlineStr">
        <is>
          <t>Föryngringsavverkning</t>
        </is>
      </c>
      <c r="D62" s="1" t="n">
        <v>45281</v>
      </c>
      <c r="E62" s="1" t="n">
        <v>46256</v>
      </c>
      <c r="F62" t="inlineStr">
        <is>
          <t>STOCKHOLMS LÄN</t>
        </is>
      </c>
      <c r="G62" t="inlineStr">
        <is>
          <t>HANINGE</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14264-2025</t>
        </is>
      </c>
      <c r="B63" t="inlineStr">
        <is>
          <t>avverkningsanmälan</t>
        </is>
      </c>
      <c r="C63" t="inlineStr">
        <is>
          <t>Föryngringsavverkning</t>
        </is>
      </c>
      <c r="D63" s="1" t="n">
        <v>45740</v>
      </c>
      <c r="E63" s="1" t="n">
        <v>46256</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46256</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46256</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46256</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58599-2023</t>
        </is>
      </c>
      <c r="B67" t="inlineStr">
        <is>
          <t>avverkningsanmälan</t>
        </is>
      </c>
      <c r="C67" t="inlineStr">
        <is>
          <t>Föryngringsavverkning</t>
        </is>
      </c>
      <c r="D67" s="1" t="n">
        <v>45251</v>
      </c>
      <c r="E67" s="1" t="n">
        <v>46256</v>
      </c>
      <c r="F67" t="inlineStr">
        <is>
          <t>STOCKHOLMS LÄN</t>
        </is>
      </c>
      <c r="G67" t="inlineStr">
        <is>
          <t>HANINGE</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52836-2024</t>
        </is>
      </c>
      <c r="B68" t="inlineStr">
        <is>
          <t>avverkningsanmälan</t>
        </is>
      </c>
      <c r="C68" t="inlineStr">
        <is>
          <t>Föryngringsavverkning</t>
        </is>
      </c>
      <c r="D68" s="1" t="n">
        <v>45610</v>
      </c>
      <c r="E68" s="1" t="n">
        <v>46256</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24800-2026</t>
        </is>
      </c>
      <c r="B69" t="inlineStr">
        <is>
          <t>avverkningsanmälan</t>
        </is>
      </c>
      <c r="C69" t="inlineStr">
        <is>
          <t>Föryngringsavverkning</t>
        </is>
      </c>
      <c r="D69" s="1" t="n">
        <v>46171</v>
      </c>
      <c r="E69" s="1" t="n">
        <v>46256</v>
      </c>
      <c r="F69" t="inlineStr">
        <is>
          <t>STOCKHOLMS LÄN</t>
        </is>
      </c>
      <c r="G69" t="inlineStr">
        <is>
          <t>HANINGE</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8078-2024</t>
        </is>
      </c>
      <c r="B70" t="inlineStr">
        <is>
          <t>avverkningsanmälan</t>
        </is>
      </c>
      <c r="C70" t="inlineStr">
        <is>
          <t>Föryngringsavverkning</t>
        </is>
      </c>
      <c r="D70" s="1" t="n">
        <v>45351</v>
      </c>
      <c r="E70" s="1" t="n">
        <v>46256</v>
      </c>
      <c r="F70" t="inlineStr">
        <is>
          <t>STOCKHOLMS LÄN</t>
        </is>
      </c>
      <c r="G70" t="inlineStr">
        <is>
          <t>HANINGE</t>
        </is>
      </c>
      <c r="H70" t="inlineStr">
        <is>
          <t>Kommuner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26417-2026</t>
        </is>
      </c>
      <c r="B71" t="inlineStr">
        <is>
          <t>avverkningsanmälan</t>
        </is>
      </c>
      <c r="C71" t="inlineStr">
        <is>
          <t>Föryngringsavverkning</t>
        </is>
      </c>
      <c r="D71" s="1" t="n">
        <v>46183</v>
      </c>
      <c r="E71" s="1" t="n">
        <v>46256</v>
      </c>
      <c r="F71" t="inlineStr">
        <is>
          <t>STOCKHOLMS LÄN</t>
        </is>
      </c>
      <c r="G71" t="inlineStr">
        <is>
          <t>HANINGE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26886-2026</t>
        </is>
      </c>
      <c r="B72" t="inlineStr">
        <is>
          <t>avverkningsanmälan</t>
        </is>
      </c>
      <c r="C72" t="inlineStr">
        <is>
          <t>Avverkning för annat ändamål</t>
        </is>
      </c>
      <c r="D72" s="1" t="n">
        <v>46185</v>
      </c>
      <c r="E72" s="1" t="n">
        <v>46256</v>
      </c>
      <c r="F72" t="inlineStr">
        <is>
          <t>STOCKHOLMS LÄN</t>
        </is>
      </c>
      <c r="G72" t="inlineStr">
        <is>
          <t>HANINGE</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46256</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19220-2023</t>
        </is>
      </c>
      <c r="B74" t="inlineStr">
        <is>
          <t>avverkningsanmälan</t>
        </is>
      </c>
      <c r="C74" t="inlineStr">
        <is>
          <t>Föryngringsavverkning</t>
        </is>
      </c>
      <c r="D74" s="1" t="n">
        <v>45048</v>
      </c>
      <c r="E74" s="1" t="n">
        <v>46256</v>
      </c>
      <c r="F74" t="inlineStr">
        <is>
          <t>STOCKHOLMS LÄN</t>
        </is>
      </c>
      <c r="G74" t="inlineStr">
        <is>
          <t>HANINGE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46256</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46256</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46256</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32486-2026</t>
        </is>
      </c>
      <c r="B78" t="inlineStr">
        <is>
          <t>avverkningsanmälan</t>
        </is>
      </c>
      <c r="C78" t="inlineStr">
        <is>
          <t>Föryngringsavverkning</t>
        </is>
      </c>
      <c r="D78" s="1" t="n">
        <v>46239</v>
      </c>
      <c r="E78" s="1" t="n">
        <v>46256</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32948-2025</t>
        </is>
      </c>
      <c r="B79" t="inlineStr">
        <is>
          <t>avverkningsanmälan</t>
        </is>
      </c>
      <c r="C79" t="inlineStr">
        <is>
          <t>Föryngringsavverkning</t>
        </is>
      </c>
      <c r="D79" s="1" t="n">
        <v>45839</v>
      </c>
      <c r="E79" s="1" t="n">
        <v>46256</v>
      </c>
      <c r="F79" t="inlineStr">
        <is>
          <t>STOCKHOLMS LÄN</t>
        </is>
      </c>
      <c r="G79" t="inlineStr">
        <is>
          <t>HANINGE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48606-2025</t>
        </is>
      </c>
      <c r="B80" t="inlineStr">
        <is>
          <t>avverkningsanmälan</t>
        </is>
      </c>
      <c r="C80" t="inlineStr">
        <is>
          <t>Föryngringsavverkning</t>
        </is>
      </c>
      <c r="D80" s="1" t="n">
        <v>45936</v>
      </c>
      <c r="E80" s="1" t="n">
        <v>46256</v>
      </c>
      <c r="F80" t="inlineStr">
        <is>
          <t>STOCKHOLMS LÄN</t>
        </is>
      </c>
      <c r="G80" t="inlineStr">
        <is>
          <t>HANINGE</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46256</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46256</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52770-2024</t>
        </is>
      </c>
      <c r="B83" t="inlineStr">
        <is>
          <t>avverkningsanmälan</t>
        </is>
      </c>
      <c r="C83" t="inlineStr">
        <is>
          <t>Föryngringsavverkning</t>
        </is>
      </c>
      <c r="D83" s="1" t="n">
        <v>45610</v>
      </c>
      <c r="E83" s="1" t="n">
        <v>46256</v>
      </c>
      <c r="F83" t="inlineStr">
        <is>
          <t>STOCKHOLMS LÄN</t>
        </is>
      </c>
      <c r="G83" t="inlineStr">
        <is>
          <t>HANINGE</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24193-2025</t>
        </is>
      </c>
      <c r="B84" t="inlineStr">
        <is>
          <t>avverkningsanmälan</t>
        </is>
      </c>
      <c r="C84" t="inlineStr">
        <is>
          <t>Föryngringsavverkning</t>
        </is>
      </c>
      <c r="D84" s="1" t="n">
        <v>45796</v>
      </c>
      <c r="E84" s="1" t="n">
        <v>46256</v>
      </c>
      <c r="F84" t="inlineStr">
        <is>
          <t>STOCKHOLMS LÄN</t>
        </is>
      </c>
      <c r="G84" t="inlineStr">
        <is>
          <t>HANINGE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64075-2023</t>
        </is>
      </c>
      <c r="B85" t="inlineStr">
        <is>
          <t>avverkningsanmälan</t>
        </is>
      </c>
      <c r="C85" t="inlineStr">
        <is>
          <t>Föryngringsavverkning</t>
        </is>
      </c>
      <c r="D85" s="1" t="n">
        <v>45279</v>
      </c>
      <c r="E85" s="1" t="n">
        <v>46256</v>
      </c>
      <c r="F85" t="inlineStr">
        <is>
          <t>STOCKHOLMS LÄN</t>
        </is>
      </c>
      <c r="G85" t="inlineStr">
        <is>
          <t>HANINGE</t>
        </is>
      </c>
      <c r="I85" t="n">
        <v>2.6</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46256</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2026-08-22T01:47:44Z</dcterms:created>
  <dcterms:modified xmlns:dcterms="http://purl.org/dc/terms/" xmlns:xsi="http://www.w3.org/2001/XMLSchema-instance" xsi:type="dcterms:W3CDTF">2026-08-22T01:47:44Z</dcterms:modified>
</cp:coreProperties>
</file>