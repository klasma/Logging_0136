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45633</v>
      </c>
      <c r="D2" t="inlineStr">
        <is>
          <t>STOCKHOLMS LÄN</t>
        </is>
      </c>
      <c r="E2" t="inlineStr">
        <is>
          <t>HANINGE</t>
        </is>
      </c>
      <c r="G2" t="n">
        <v>10.3</v>
      </c>
      <c r="H2" t="n">
        <v>7</v>
      </c>
      <c r="I2" t="n">
        <v>20</v>
      </c>
      <c r="J2" t="n">
        <v>8</v>
      </c>
      <c r="K2" t="n">
        <v>2</v>
      </c>
      <c r="L2" t="n">
        <v>1</v>
      </c>
      <c r="M2" t="n">
        <v>0</v>
      </c>
      <c r="N2" t="n">
        <v>0</v>
      </c>
      <c r="O2" t="n">
        <v>11</v>
      </c>
      <c r="P2" t="n">
        <v>3</v>
      </c>
      <c r="Q2" t="n">
        <v>35</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45633</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45633</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45633</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34417-2023</t>
        </is>
      </c>
      <c r="B6" s="1" t="n">
        <v>45139</v>
      </c>
      <c r="C6" s="1" t="n">
        <v>45633</v>
      </c>
      <c r="D6" t="inlineStr">
        <is>
          <t>STOCKHOLMS LÄN</t>
        </is>
      </c>
      <c r="E6" t="inlineStr">
        <is>
          <t>HANINGE</t>
        </is>
      </c>
      <c r="G6" t="n">
        <v>3.8</v>
      </c>
      <c r="H6" t="n">
        <v>5</v>
      </c>
      <c r="I6" t="n">
        <v>11</v>
      </c>
      <c r="J6" t="n">
        <v>4</v>
      </c>
      <c r="K6" t="n">
        <v>0</v>
      </c>
      <c r="L6" t="n">
        <v>0</v>
      </c>
      <c r="M6" t="n">
        <v>0</v>
      </c>
      <c r="N6" t="n">
        <v>0</v>
      </c>
      <c r="O6" t="n">
        <v>4</v>
      </c>
      <c r="P6" t="n">
        <v>0</v>
      </c>
      <c r="Q6" t="n">
        <v>18</v>
      </c>
      <c r="R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6">
        <f>HYPERLINK("https://klasma.github.io/Logging_0136/artfynd/A 34417-2023 artfynd.xlsx", "A 34417-2023")</f>
        <v/>
      </c>
      <c r="T6">
        <f>HYPERLINK("https://klasma.github.io/Logging_0136/kartor/A 34417-2023 karta.png", "A 34417-2023")</f>
        <v/>
      </c>
      <c r="V6">
        <f>HYPERLINK("https://klasma.github.io/Logging_0136/klagomål/A 34417-2023 FSC-klagomål.docx", "A 34417-2023")</f>
        <v/>
      </c>
      <c r="W6">
        <f>HYPERLINK("https://klasma.github.io/Logging_0136/klagomålsmail/A 34417-2023 FSC-klagomål mail.docx", "A 34417-2023")</f>
        <v/>
      </c>
      <c r="X6">
        <f>HYPERLINK("https://klasma.github.io/Logging_0136/tillsyn/A 34417-2023 tillsynsbegäran.docx", "A 34417-2023")</f>
        <v/>
      </c>
      <c r="Y6">
        <f>HYPERLINK("https://klasma.github.io/Logging_0136/tillsynsmail/A 34417-2023 tillsynsbegäran mail.docx", "A 34417-2023")</f>
        <v/>
      </c>
      <c r="Z6">
        <f>HYPERLINK("https://klasma.github.io/Logging_0136/fåglar/A 34417-2023 prioriterade fågelarter.docx", "A 34417-2023")</f>
        <v/>
      </c>
    </row>
    <row r="7" ht="15" customHeight="1">
      <c r="A7" t="inlineStr">
        <is>
          <t>A 25567-2023</t>
        </is>
      </c>
      <c r="B7" s="1" t="n">
        <v>45089</v>
      </c>
      <c r="C7" s="1" t="n">
        <v>45633</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45633</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45633</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45633</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45633</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45633</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45633</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45633</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45633</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45633</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45633</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45633</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45633</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45633</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45633</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45633</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45633</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45633</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45633</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45633</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45633</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45633</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45633</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45633</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45633</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45633</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45633</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45633</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45633</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45633</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45633</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45633</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45633</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45633</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45633</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45633</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45633</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45633</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45633</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45633</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45633</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45633</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45633</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45633</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45633</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45633</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45633</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45633</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45633</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45633</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45633</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45633</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45633</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45633</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45633</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45633</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45633</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45633</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45633</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45633</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45633</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45633</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45633</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45633</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45633</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45633</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45633</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45633</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45633</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45633</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45633</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45633</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45633</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45633</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45633</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45633</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45633</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45633</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45633</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45633</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45633</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45633</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45633</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45633</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45633</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45633</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45633</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45633</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45633</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45633</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45633</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45633</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45633</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45633</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45633</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45633</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45633</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45633</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45633</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45633</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45633</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45633</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45633</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45633</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45633</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45633</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45633</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45633</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45633</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45633</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45633</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45633</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45633</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45633</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45633</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45633</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45633</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45633</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45633</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45633</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45633</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45633</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45633</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45633</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45633</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45633</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45633</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45633</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45633</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ht="15" customHeight="1">
      <c r="A136" t="inlineStr">
        <is>
          <t>A 23666-2024</t>
        </is>
      </c>
      <c r="B136" s="1" t="n">
        <v>45454</v>
      </c>
      <c r="C136" s="1" t="n">
        <v>45633</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row r="137" ht="15" customHeight="1">
      <c r="A137" t="inlineStr">
        <is>
          <t>A 52773-2024</t>
        </is>
      </c>
      <c r="B137" s="1" t="n">
        <v>45610</v>
      </c>
      <c r="C137" s="1" t="n">
        <v>45633</v>
      </c>
      <c r="D137" t="inlineStr">
        <is>
          <t>STOCKHOLMS LÄN</t>
        </is>
      </c>
      <c r="E137" t="inlineStr">
        <is>
          <t>HANINGE</t>
        </is>
      </c>
      <c r="G137" t="n">
        <v>0.7</v>
      </c>
      <c r="H137" t="n">
        <v>0</v>
      </c>
      <c r="I137" t="n">
        <v>0</v>
      </c>
      <c r="J137" t="n">
        <v>0</v>
      </c>
      <c r="K137" t="n">
        <v>0</v>
      </c>
      <c r="L137" t="n">
        <v>0</v>
      </c>
      <c r="M137" t="n">
        <v>0</v>
      </c>
      <c r="N137" t="n">
        <v>0</v>
      </c>
      <c r="O137" t="n">
        <v>0</v>
      </c>
      <c r="P137" t="n">
        <v>0</v>
      </c>
      <c r="Q137" t="n">
        <v>0</v>
      </c>
      <c r="R137" s="2" t="inlineStr"/>
    </row>
    <row r="138" ht="15" customHeight="1">
      <c r="A138" t="inlineStr">
        <is>
          <t>A 52770-2024</t>
        </is>
      </c>
      <c r="B138" s="1" t="n">
        <v>45610</v>
      </c>
      <c r="C138" s="1" t="n">
        <v>45633</v>
      </c>
      <c r="D138" t="inlineStr">
        <is>
          <t>STOCKHOLMS LÄN</t>
        </is>
      </c>
      <c r="E138" t="inlineStr">
        <is>
          <t>HANINGE</t>
        </is>
      </c>
      <c r="G138" t="n">
        <v>2.3</v>
      </c>
      <c r="H138" t="n">
        <v>0</v>
      </c>
      <c r="I138" t="n">
        <v>0</v>
      </c>
      <c r="J138" t="n">
        <v>0</v>
      </c>
      <c r="K138" t="n">
        <v>0</v>
      </c>
      <c r="L138" t="n">
        <v>0</v>
      </c>
      <c r="M138" t="n">
        <v>0</v>
      </c>
      <c r="N138" t="n">
        <v>0</v>
      </c>
      <c r="O138" t="n">
        <v>0</v>
      </c>
      <c r="P138" t="n">
        <v>0</v>
      </c>
      <c r="Q138" t="n">
        <v>0</v>
      </c>
      <c r="R138" s="2" t="inlineStr"/>
    </row>
    <row r="139">
      <c r="A139" t="inlineStr">
        <is>
          <t>A 52836-2024</t>
        </is>
      </c>
      <c r="B139" s="1" t="n">
        <v>45610</v>
      </c>
      <c r="C139" s="1" t="n">
        <v>45633</v>
      </c>
      <c r="D139" t="inlineStr">
        <is>
          <t>STOCKHOLMS LÄN</t>
        </is>
      </c>
      <c r="E139" t="inlineStr">
        <is>
          <t>HANINGE</t>
        </is>
      </c>
      <c r="G139" t="n">
        <v>1</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2024-12-07T14:47:55Z</dcterms:created>
  <dcterms:modified xmlns:dcterms="http://purl.org/dc/terms/" xmlns:xsi="http://www.w3.org/2001/XMLSchema-instance" xsi:type="dcterms:W3CDTF">2024-12-07T14:47:55Z</dcterms:modified>
</cp:coreProperties>
</file>