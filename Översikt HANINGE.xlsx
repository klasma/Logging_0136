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46317</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46317</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46317</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46317</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46317</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46317</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46317</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46317</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46317</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46317</v>
      </c>
      <c r="F13" t="inlineStr">
        <is>
          <t>STOCKHOLMS LÄN</t>
        </is>
      </c>
      <c r="G13" t="inlineStr">
        <is>
          <t>HANINGE</t>
        </is>
      </c>
      <c r="I13" t="n">
        <v>1.7</v>
      </c>
      <c r="J13" t="n">
        <v>5</v>
      </c>
      <c r="K13" t="n">
        <v>6</v>
      </c>
      <c r="L13" t="n">
        <v>4</v>
      </c>
      <c r="M13" t="n">
        <v>1</v>
      </c>
      <c r="N13" t="n">
        <v>0</v>
      </c>
      <c r="O13" t="n">
        <v>0</v>
      </c>
      <c r="P13" t="n">
        <v>0</v>
      </c>
      <c r="Q13" t="n">
        <v>5</v>
      </c>
      <c r="R13" t="n">
        <v>1</v>
      </c>
      <c r="S13" t="n">
        <v>16</v>
      </c>
      <c r="T13" t="n">
        <v>27</v>
      </c>
      <c r="U13" t="n">
        <v>25</v>
      </c>
      <c r="V13" s="2" t="inlineStr">
        <is>
          <t>Rotfingersvamp
Dropptaggsvamp
Tallkötticka
Talltita
Ullticka
Blåmossa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46317</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46317</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46317</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46317</v>
      </c>
      <c r="F17" t="inlineStr">
        <is>
          <t>STOCKHOLMS LÄN</t>
        </is>
      </c>
      <c r="G17" t="inlineStr">
        <is>
          <t>HANINGE</t>
        </is>
      </c>
      <c r="I17" t="n">
        <v>1.3</v>
      </c>
      <c r="J17" t="n">
        <v>1</v>
      </c>
      <c r="K17" t="n">
        <v>1</v>
      </c>
      <c r="L17" t="n">
        <v>3</v>
      </c>
      <c r="M17" t="n">
        <v>0</v>
      </c>
      <c r="N17" t="n">
        <v>0</v>
      </c>
      <c r="O17" t="n">
        <v>0</v>
      </c>
      <c r="P17" t="n">
        <v>0</v>
      </c>
      <c r="Q17" t="n">
        <v>3</v>
      </c>
      <c r="R17" t="n">
        <v>0</v>
      </c>
      <c r="S17" t="n">
        <v>5</v>
      </c>
      <c r="T17" t="n">
        <v>5</v>
      </c>
      <c r="U17" t="n">
        <v>4</v>
      </c>
      <c r="V17" s="2" t="inlineStr">
        <is>
          <t>Motaggsvamp
Skogshare
Tallticka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46317</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46317</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46317</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46317</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46317</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46317</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6648-2023</t>
        </is>
      </c>
      <c r="B24" t="inlineStr">
        <is>
          <t>avverkningsanmälan</t>
        </is>
      </c>
      <c r="C24" t="inlineStr">
        <is>
          <t>Föryngringsavverkning</t>
        </is>
      </c>
      <c r="D24" s="1" t="n">
        <v>44966</v>
      </c>
      <c r="E24" s="1" t="n">
        <v>46317</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34823-2022</t>
        </is>
      </c>
      <c r="B25" t="inlineStr">
        <is>
          <t>avverkningsanmälan</t>
        </is>
      </c>
      <c r="C25" t="inlineStr">
        <is>
          <t>Föryngringsavverkning</t>
        </is>
      </c>
      <c r="D25" s="1" t="n">
        <v>44796</v>
      </c>
      <c r="E25" s="1" t="n">
        <v>46317</v>
      </c>
      <c r="F25" t="inlineStr">
        <is>
          <t>STOCKHOLMS LÄN</t>
        </is>
      </c>
      <c r="G25" t="inlineStr">
        <is>
          <t>HANINGE</t>
        </is>
      </c>
      <c r="I25" t="n">
        <v>12</v>
      </c>
      <c r="J25" t="n">
        <v>0</v>
      </c>
      <c r="K25" t="n">
        <v>0</v>
      </c>
      <c r="L25" t="n">
        <v>0</v>
      </c>
      <c r="M25" t="n">
        <v>1</v>
      </c>
      <c r="N25" t="n">
        <v>0</v>
      </c>
      <c r="O25" t="n">
        <v>0</v>
      </c>
      <c r="P25" t="n">
        <v>0</v>
      </c>
      <c r="Q25" t="n">
        <v>1</v>
      </c>
      <c r="R25" t="n">
        <v>1</v>
      </c>
      <c r="S25" t="n">
        <v>1</v>
      </c>
      <c r="T25" t="n">
        <v>1</v>
      </c>
      <c r="U25" t="n">
        <v>0</v>
      </c>
      <c r="V25" s="2" t="inlineStr">
        <is>
          <t>Mörk kraterlav</t>
        </is>
      </c>
      <c r="W25">
        <f>HYPERLINK("https://klasma.github.io/Logging_0136/artfynd/A 34823-2022 artfynd.xlsx", "A 34823-2022")</f>
        <v/>
      </c>
      <c r="X25">
        <f>HYPERLINK("https://klasma.github.io/Logging_0136/kartor/A 34823-2022 karta.png", "A 34823-2022")</f>
        <v/>
      </c>
      <c r="Y25">
        <f>HYPERLINK("https://klasma.github.io/Logging_0136/kartor_geotiff/A 34823-2022 georefererad karta.tif", "A 34823-2022")</f>
        <v/>
      </c>
      <c r="AA25">
        <f>HYPERLINK("https://klasma.github.io/Logging_0136/klagomål/A 34823-2022 FSC-klagomål.docx", "A 34823-2022")</f>
        <v/>
      </c>
      <c r="AB25">
        <f>HYPERLINK("https://klasma.github.io/Logging_0136/klagomålsmail/A 34823-2022 FSC-klagomål mail.docx", "A 34823-2022")</f>
        <v/>
      </c>
      <c r="AC25">
        <f>HYPERLINK("https://klasma.github.io/Logging_0136/tillsyn/A 34823-2022 tillsynsbegäran.docx", "A 34823-2022")</f>
        <v/>
      </c>
      <c r="AD25">
        <f>HYPERLINK("https://klasma.github.io/Logging_0136/tillsynsmail/A 34823-2022 tillsynsbegäran mail.docx", "A 34823-2022")</f>
        <v/>
      </c>
    </row>
    <row r="26" ht="15" customHeight="1">
      <c r="A26" t="inlineStr">
        <is>
          <t>A 32479-2026</t>
        </is>
      </c>
      <c r="B26" t="inlineStr">
        <is>
          <t>avverkningsanmälan</t>
        </is>
      </c>
      <c r="C26" t="inlineStr">
        <is>
          <t>Föryngringsavverkning</t>
        </is>
      </c>
      <c r="D26" s="1" t="n">
        <v>46239</v>
      </c>
      <c r="E26" s="1" t="n">
        <v>46317</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46317</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46317</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46317</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46317</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46317</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46317</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46317</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46317</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46317</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3156-2025</t>
        </is>
      </c>
      <c r="B36" t="inlineStr">
        <is>
          <t>avverkningsanmälan</t>
        </is>
      </c>
      <c r="C36" t="inlineStr">
        <is>
          <t>Föryngringsavverkning</t>
        </is>
      </c>
      <c r="D36" s="1" t="n">
        <v>45679</v>
      </c>
      <c r="E36" s="1" t="n">
        <v>46317</v>
      </c>
      <c r="F36" t="inlineStr">
        <is>
          <t>STOCKHOLMS LÄN</t>
        </is>
      </c>
      <c r="G36" t="inlineStr">
        <is>
          <t>HANINGE</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18491-2025</t>
        </is>
      </c>
      <c r="B37" t="inlineStr">
        <is>
          <t>avverkningsanmälan</t>
        </is>
      </c>
      <c r="C37" t="inlineStr">
        <is>
          <t>Föryngringsavverkning</t>
        </is>
      </c>
      <c r="D37" s="1" t="n">
        <v>45763</v>
      </c>
      <c r="E37" s="1" t="n">
        <v>46317</v>
      </c>
      <c r="F37" t="inlineStr">
        <is>
          <t>STOCKHOLMS LÄN</t>
        </is>
      </c>
      <c r="G37" t="inlineStr">
        <is>
          <t>HANINGE</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24193-2025</t>
        </is>
      </c>
      <c r="B38" t="inlineStr">
        <is>
          <t>avverkningsanmälan</t>
        </is>
      </c>
      <c r="C38" t="inlineStr">
        <is>
          <t>Föryngringsavverkning</t>
        </is>
      </c>
      <c r="D38" s="1" t="n">
        <v>45796</v>
      </c>
      <c r="E38" s="1" t="n">
        <v>46317</v>
      </c>
      <c r="F38" t="inlineStr">
        <is>
          <t>STOCKHOLMS LÄN</t>
        </is>
      </c>
      <c r="G38" t="inlineStr">
        <is>
          <t>HANINGE</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64075-2023</t>
        </is>
      </c>
      <c r="B39" t="inlineStr">
        <is>
          <t>avverkningsanmälan</t>
        </is>
      </c>
      <c r="C39" t="inlineStr">
        <is>
          <t>Föryngringsavverkning</t>
        </is>
      </c>
      <c r="D39" s="1" t="n">
        <v>45279</v>
      </c>
      <c r="E39" s="1" t="n">
        <v>46317</v>
      </c>
      <c r="F39" t="inlineStr">
        <is>
          <t>STOCKHOLMS LÄN</t>
        </is>
      </c>
      <c r="G39" t="inlineStr">
        <is>
          <t>HANINGE</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68896-2021</t>
        </is>
      </c>
      <c r="B40" t="inlineStr">
        <is>
          <t>avverkningsanmälan</t>
        </is>
      </c>
      <c r="C40" t="inlineStr">
        <is>
          <t>Föryngringsavverkning</t>
        </is>
      </c>
      <c r="D40" s="1" t="n">
        <v>44526</v>
      </c>
      <c r="E40" s="1" t="n">
        <v>46317</v>
      </c>
      <c r="F40" t="inlineStr">
        <is>
          <t>STOCKHOLMS LÄN</t>
        </is>
      </c>
      <c r="G40" t="inlineStr">
        <is>
          <t>HANINGE</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27596-2025</t>
        </is>
      </c>
      <c r="B41" t="inlineStr">
        <is>
          <t>avverkningsanmälan</t>
        </is>
      </c>
      <c r="C41" t="inlineStr">
        <is>
          <t>Avverkning för att bevara och utveckla /försöksver</t>
        </is>
      </c>
      <c r="D41" s="1" t="n">
        <v>45813</v>
      </c>
      <c r="E41" s="1" t="n">
        <v>46317</v>
      </c>
      <c r="F41" t="inlineStr">
        <is>
          <t>STOCKHOLMS LÄN</t>
        </is>
      </c>
      <c r="G41" t="inlineStr">
        <is>
          <t>HANINGE</t>
        </is>
      </c>
      <c r="I41" t="n">
        <v>0.1</v>
      </c>
      <c r="J41" t="n">
        <v>0</v>
      </c>
      <c r="K41" t="n">
        <v>0</v>
      </c>
      <c r="L41" t="n">
        <v>0</v>
      </c>
      <c r="M41" t="n">
        <v>0</v>
      </c>
      <c r="N41" t="n">
        <v>0</v>
      </c>
      <c r="O41" t="n">
        <v>0</v>
      </c>
      <c r="P41" t="n">
        <v>0</v>
      </c>
      <c r="Q41" t="n">
        <v>0</v>
      </c>
      <c r="R41" t="n">
        <v>0</v>
      </c>
      <c r="S41" t="n">
        <v>0</v>
      </c>
      <c r="T41" t="n">
        <v>0</v>
      </c>
      <c r="U41" t="n">
        <v>0</v>
      </c>
      <c r="V41" s="2" t="inlineStr"/>
    </row>
    <row r="42" ht="15" customHeight="1">
      <c r="A42" t="inlineStr">
        <is>
          <t>A 14264-2025</t>
        </is>
      </c>
      <c r="B42" t="inlineStr">
        <is>
          <t>avverkningsanmälan</t>
        </is>
      </c>
      <c r="C42" t="inlineStr">
        <is>
          <t>Föryngringsavverkning</t>
        </is>
      </c>
      <c r="D42" s="1" t="n">
        <v>45740</v>
      </c>
      <c r="E42" s="1" t="n">
        <v>46317</v>
      </c>
      <c r="F42" t="inlineStr">
        <is>
          <t>STOCKHOLMS LÄN</t>
        </is>
      </c>
      <c r="G42" t="inlineStr">
        <is>
          <t>HANINGE</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58599-2023</t>
        </is>
      </c>
      <c r="B43" t="inlineStr">
        <is>
          <t>avverkningsanmälan</t>
        </is>
      </c>
      <c r="C43" t="inlineStr">
        <is>
          <t>Föryngringsavverkning</t>
        </is>
      </c>
      <c r="D43" s="1" t="n">
        <v>45251</v>
      </c>
      <c r="E43" s="1" t="n">
        <v>46317</v>
      </c>
      <c r="F43" t="inlineStr">
        <is>
          <t>STOCKHOLMS LÄN</t>
        </is>
      </c>
      <c r="G43" t="inlineStr">
        <is>
          <t>HANINGE</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18528-2024</t>
        </is>
      </c>
      <c r="B44" t="inlineStr">
        <is>
          <t>avverkningsanmälan</t>
        </is>
      </c>
      <c r="C44" t="inlineStr">
        <is>
          <t>Föryngringsavverkning</t>
        </is>
      </c>
      <c r="D44" s="1" t="n">
        <v>45425</v>
      </c>
      <c r="E44" s="1" t="n">
        <v>46317</v>
      </c>
      <c r="F44" t="inlineStr">
        <is>
          <t>STOCKHOLMS LÄN</t>
        </is>
      </c>
      <c r="G44" t="inlineStr">
        <is>
          <t>HANINGE</t>
        </is>
      </c>
      <c r="H44" t="inlineStr">
        <is>
          <t>Kommuner</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50306-2023</t>
        </is>
      </c>
      <c r="B45" t="inlineStr">
        <is>
          <t>avverkningsanmälan</t>
        </is>
      </c>
      <c r="C45" t="inlineStr">
        <is>
          <t>Föryngringsavverkning</t>
        </is>
      </c>
      <c r="D45" s="1" t="n">
        <v>45209</v>
      </c>
      <c r="E45" s="1" t="n">
        <v>46317</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c r="Z45">
        <f>HYPERLINK("https://klasma.github.io/Logging_0136/knärot/A 50306-2023 karta knärot.png", "A 50306-2023")</f>
        <v/>
      </c>
      <c r="AA45">
        <f>HYPERLINK("https://klasma.github.io/Logging_0136/klagomål/A 50306-2023 FSC-klagomål.docx", "A 50306-2023")</f>
        <v/>
      </c>
      <c r="AB45">
        <f>HYPERLINK("https://klasma.github.io/Logging_0136/klagomålsmail/A 50306-2023 FSC-klagomål mail.docx", "A 50306-2023")</f>
        <v/>
      </c>
      <c r="AC45">
        <f>HYPERLINK("https://klasma.github.io/Logging_0136/tillsyn/A 50306-2023 tillsynsbegäran.docx", "A 50306-2023")</f>
        <v/>
      </c>
      <c r="AD45">
        <f>HYPERLINK("https://klasma.github.io/Logging_0136/tillsynsmail/A 50306-2023 tillsynsbegäran mail.docx", "A 50306-2023")</f>
        <v/>
      </c>
    </row>
    <row r="46" ht="15" customHeight="1">
      <c r="A46" t="inlineStr">
        <is>
          <t>A 22288-2023</t>
        </is>
      </c>
      <c r="B46" t="inlineStr">
        <is>
          <t>avverkningsanmälan</t>
        </is>
      </c>
      <c r="C46" t="inlineStr">
        <is>
          <t>Föryngringsavverkning</t>
        </is>
      </c>
      <c r="D46" s="1" t="n">
        <v>45070</v>
      </c>
      <c r="E46" s="1" t="n">
        <v>46317</v>
      </c>
      <c r="F46" t="inlineStr">
        <is>
          <t>STOCKHOLMS LÄN</t>
        </is>
      </c>
      <c r="G46" t="inlineStr">
        <is>
          <t>HANINGE</t>
        </is>
      </c>
      <c r="I46" t="n">
        <v>2.8</v>
      </c>
      <c r="J46" t="n">
        <v>0</v>
      </c>
      <c r="K46" t="n">
        <v>0</v>
      </c>
      <c r="L46" t="n">
        <v>0</v>
      </c>
      <c r="M46" t="n">
        <v>0</v>
      </c>
      <c r="N46" t="n">
        <v>0</v>
      </c>
      <c r="O46" t="n">
        <v>0</v>
      </c>
      <c r="P46" t="n">
        <v>0</v>
      </c>
      <c r="Q46" t="n">
        <v>0</v>
      </c>
      <c r="R46" t="n">
        <v>0</v>
      </c>
      <c r="S46" t="n">
        <v>0</v>
      </c>
      <c r="T46" t="n">
        <v>0</v>
      </c>
      <c r="U46" t="n">
        <v>0</v>
      </c>
      <c r="V46" s="2" t="inlineStr"/>
    </row>
    <row r="47" ht="15" customHeight="1">
      <c r="A47" t="inlineStr">
        <is>
          <t>A 12787-2026</t>
        </is>
      </c>
      <c r="B47" t="inlineStr">
        <is>
          <t>avverkningsanmälan</t>
        </is>
      </c>
      <c r="C47" t="inlineStr">
        <is>
          <t>Föryngringsavverkning</t>
        </is>
      </c>
      <c r="D47" s="1" t="n">
        <v>46091</v>
      </c>
      <c r="E47" s="1" t="n">
        <v>46317</v>
      </c>
      <c r="F47" t="inlineStr">
        <is>
          <t>STOCKHOLMS LÄN</t>
        </is>
      </c>
      <c r="G47" t="inlineStr">
        <is>
          <t>HANINGE</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33792-2023</t>
        </is>
      </c>
      <c r="B48" t="inlineStr">
        <is>
          <t>avverkningsanmälan</t>
        </is>
      </c>
      <c r="C48" t="inlineStr">
        <is>
          <t>Föryngringsavverkning</t>
        </is>
      </c>
      <c r="D48" s="1" t="n">
        <v>45121</v>
      </c>
      <c r="E48" s="1" t="n">
        <v>46317</v>
      </c>
      <c r="F48" t="inlineStr">
        <is>
          <t>STOCKHOLMS LÄN</t>
        </is>
      </c>
      <c r="G48" t="inlineStr">
        <is>
          <t>HANINGE</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20839-2024</t>
        </is>
      </c>
      <c r="B49" t="inlineStr">
        <is>
          <t>avverkningsanmälan</t>
        </is>
      </c>
      <c r="C49" t="inlineStr">
        <is>
          <t>Föryngringsavverkning</t>
        </is>
      </c>
      <c r="D49" s="1" t="n">
        <v>45439</v>
      </c>
      <c r="E49" s="1" t="n">
        <v>46317</v>
      </c>
      <c r="F49" t="inlineStr">
        <is>
          <t>STOCKHOLMS LÄN</t>
        </is>
      </c>
      <c r="G49" t="inlineStr">
        <is>
          <t>HANINGE</t>
        </is>
      </c>
      <c r="I49" t="n">
        <v>8.4</v>
      </c>
      <c r="J49" t="n">
        <v>0</v>
      </c>
      <c r="K49" t="n">
        <v>0</v>
      </c>
      <c r="L49" t="n">
        <v>0</v>
      </c>
      <c r="M49" t="n">
        <v>0</v>
      </c>
      <c r="N49" t="n">
        <v>0</v>
      </c>
      <c r="O49" t="n">
        <v>0</v>
      </c>
      <c r="P49" t="n">
        <v>0</v>
      </c>
      <c r="Q49" t="n">
        <v>0</v>
      </c>
      <c r="R49" t="n">
        <v>0</v>
      </c>
      <c r="S49" t="n">
        <v>0</v>
      </c>
      <c r="T49" t="n">
        <v>0</v>
      </c>
      <c r="U49" t="n">
        <v>0</v>
      </c>
      <c r="V49" s="2" t="inlineStr"/>
    </row>
    <row r="50" ht="15" customHeight="1">
      <c r="A50" t="inlineStr">
        <is>
          <t>A 18512-2024</t>
        </is>
      </c>
      <c r="B50" t="inlineStr">
        <is>
          <t>avverkningsanmälan</t>
        </is>
      </c>
      <c r="C50" t="inlineStr">
        <is>
          <t>Föryngringsavverkning</t>
        </is>
      </c>
      <c r="D50" s="1" t="n">
        <v>45425</v>
      </c>
      <c r="E50" s="1" t="n">
        <v>46317</v>
      </c>
      <c r="F50" t="inlineStr">
        <is>
          <t>STOCKHOLMS LÄN</t>
        </is>
      </c>
      <c r="G50" t="inlineStr">
        <is>
          <t>HANINGE</t>
        </is>
      </c>
      <c r="H50" t="inlineStr">
        <is>
          <t>Kommuner</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4297-2024</t>
        </is>
      </c>
      <c r="B51" t="inlineStr">
        <is>
          <t>avverkningsanmälan</t>
        </is>
      </c>
      <c r="C51" t="inlineStr">
        <is>
          <t>Föryngringsavverkning</t>
        </is>
      </c>
      <c r="D51" s="1" t="n">
        <v>45324</v>
      </c>
      <c r="E51" s="1" t="n">
        <v>46317</v>
      </c>
      <c r="F51" t="inlineStr">
        <is>
          <t>STOCKHOLMS LÄN</t>
        </is>
      </c>
      <c r="G51" t="inlineStr">
        <is>
          <t>HANINGE</t>
        </is>
      </c>
      <c r="H51" t="inlineStr">
        <is>
          <t>Kommuner</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48606-2025</t>
        </is>
      </c>
      <c r="B52" t="inlineStr">
        <is>
          <t>avverkningsanmälan</t>
        </is>
      </c>
      <c r="C52" t="inlineStr">
        <is>
          <t>Föryngringsavverkning</t>
        </is>
      </c>
      <c r="D52" s="1" t="n">
        <v>45936</v>
      </c>
      <c r="E52" s="1" t="n">
        <v>46317</v>
      </c>
      <c r="F52" t="inlineStr">
        <is>
          <t>STOCKHOLMS LÄN</t>
        </is>
      </c>
      <c r="G52" t="inlineStr">
        <is>
          <t>HANINGE</t>
        </is>
      </c>
      <c r="I52" t="n">
        <v>6.9</v>
      </c>
      <c r="J52" t="n">
        <v>0</v>
      </c>
      <c r="K52" t="n">
        <v>0</v>
      </c>
      <c r="L52" t="n">
        <v>0</v>
      </c>
      <c r="M52" t="n">
        <v>0</v>
      </c>
      <c r="N52" t="n">
        <v>0</v>
      </c>
      <c r="O52" t="n">
        <v>0</v>
      </c>
      <c r="P52" t="n">
        <v>0</v>
      </c>
      <c r="Q52" t="n">
        <v>0</v>
      </c>
      <c r="R52" t="n">
        <v>0</v>
      </c>
      <c r="S52" t="n">
        <v>0</v>
      </c>
      <c r="T52" t="n">
        <v>0</v>
      </c>
      <c r="U52" t="n">
        <v>0</v>
      </c>
      <c r="V52" s="2" t="inlineStr"/>
    </row>
    <row r="53" ht="15" customHeight="1">
      <c r="A53" t="inlineStr">
        <is>
          <t>A 17765-2024</t>
        </is>
      </c>
      <c r="B53" t="inlineStr">
        <is>
          <t>avverkningsanmälan</t>
        </is>
      </c>
      <c r="C53" t="inlineStr">
        <is>
          <t>Föryngringsavverkning</t>
        </is>
      </c>
      <c r="D53" s="1" t="n">
        <v>45418</v>
      </c>
      <c r="E53" s="1" t="n">
        <v>46317</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32948-2025</t>
        </is>
      </c>
      <c r="B54" t="inlineStr">
        <is>
          <t>avverkningsanmälan</t>
        </is>
      </c>
      <c r="C54" t="inlineStr">
        <is>
          <t>Föryngringsavverkning</t>
        </is>
      </c>
      <c r="D54" s="1" t="n">
        <v>45839</v>
      </c>
      <c r="E54" s="1" t="n">
        <v>46317</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25584-2023</t>
        </is>
      </c>
      <c r="B55" t="inlineStr">
        <is>
          <t>avverkningsanmälan</t>
        </is>
      </c>
      <c r="C55" t="inlineStr">
        <is>
          <t>Föryngringsavverkning</t>
        </is>
      </c>
      <c r="D55" s="1" t="n">
        <v>45089</v>
      </c>
      <c r="E55" s="1" t="n">
        <v>46317</v>
      </c>
      <c r="F55" t="inlineStr">
        <is>
          <t>STOCKHOLMS LÄN</t>
        </is>
      </c>
      <c r="G55" t="inlineStr">
        <is>
          <t>HANINGE</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52770-2024</t>
        </is>
      </c>
      <c r="B56" t="inlineStr">
        <is>
          <t>avverkningsanmälan</t>
        </is>
      </c>
      <c r="C56" t="inlineStr">
        <is>
          <t>Föryngringsavverkning</t>
        </is>
      </c>
      <c r="D56" s="1" t="n">
        <v>45610</v>
      </c>
      <c r="E56" s="1" t="n">
        <v>46317</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20527-2025</t>
        </is>
      </c>
      <c r="B57" t="inlineStr">
        <is>
          <t>avverkningsanmälan</t>
        </is>
      </c>
      <c r="C57" t="inlineStr">
        <is>
          <t>Föryngringsavverkning</t>
        </is>
      </c>
      <c r="D57" s="1" t="n">
        <v>45775</v>
      </c>
      <c r="E57" s="1" t="n">
        <v>46317</v>
      </c>
      <c r="F57" t="inlineStr">
        <is>
          <t>STOCKHOLMS LÄN</t>
        </is>
      </c>
      <c r="G57" t="inlineStr">
        <is>
          <t>HANINGE</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46317</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1180-2024</t>
        </is>
      </c>
      <c r="B59" t="inlineStr">
        <is>
          <t>avverkningsanmälan</t>
        </is>
      </c>
      <c r="C59" t="inlineStr">
        <is>
          <t>Föryngringsavverkning</t>
        </is>
      </c>
      <c r="D59" s="1" t="n">
        <v>45302</v>
      </c>
      <c r="E59" s="1" t="n">
        <v>46317</v>
      </c>
      <c r="F59" t="inlineStr">
        <is>
          <t>STOCKHOLMS LÄN</t>
        </is>
      </c>
      <c r="G59" t="inlineStr">
        <is>
          <t>HANINGE</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26417-2026</t>
        </is>
      </c>
      <c r="B60" t="inlineStr">
        <is>
          <t>avverkningsanmälan</t>
        </is>
      </c>
      <c r="C60" t="inlineStr">
        <is>
          <t>Föryngringsavverkning</t>
        </is>
      </c>
      <c r="D60" s="1" t="n">
        <v>46183</v>
      </c>
      <c r="E60" s="1" t="n">
        <v>46317</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26886-2026</t>
        </is>
      </c>
      <c r="B61" t="inlineStr">
        <is>
          <t>avverkningsanmälan</t>
        </is>
      </c>
      <c r="C61" t="inlineStr">
        <is>
          <t>Avverkning för annat ändamål</t>
        </is>
      </c>
      <c r="D61" s="1" t="n">
        <v>46185</v>
      </c>
      <c r="E61" s="1" t="n">
        <v>46317</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19220-2023</t>
        </is>
      </c>
      <c r="B62" t="inlineStr">
        <is>
          <t>avverkningsanmälan</t>
        </is>
      </c>
      <c r="C62" t="inlineStr">
        <is>
          <t>Föryngringsavverkning</t>
        </is>
      </c>
      <c r="D62" s="1" t="n">
        <v>45048</v>
      </c>
      <c r="E62" s="1" t="n">
        <v>46317</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18490-2025</t>
        </is>
      </c>
      <c r="B63" t="inlineStr">
        <is>
          <t>avverkningsanmälan</t>
        </is>
      </c>
      <c r="C63" t="inlineStr">
        <is>
          <t>Föryngringsavverkning</t>
        </is>
      </c>
      <c r="D63" s="1" t="n">
        <v>45763</v>
      </c>
      <c r="E63" s="1" t="n">
        <v>46317</v>
      </c>
      <c r="F63" t="inlineStr">
        <is>
          <t>STOCKHOLMS LÄN</t>
        </is>
      </c>
      <c r="G63" t="inlineStr">
        <is>
          <t>HANINGE</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64568-2023</t>
        </is>
      </c>
      <c r="B64" t="inlineStr">
        <is>
          <t>avverkningsanmälan</t>
        </is>
      </c>
      <c r="C64" t="inlineStr">
        <is>
          <t>Föryngringsavverkning</t>
        </is>
      </c>
      <c r="D64" s="1" t="n">
        <v>45281</v>
      </c>
      <c r="E64" s="1" t="n">
        <v>46317</v>
      </c>
      <c r="F64" t="inlineStr">
        <is>
          <t>STOCKHOLMS LÄN</t>
        </is>
      </c>
      <c r="G64" t="inlineStr">
        <is>
          <t>HANINGE</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18548-2024</t>
        </is>
      </c>
      <c r="B65" t="inlineStr">
        <is>
          <t>avverkningsanmälan</t>
        </is>
      </c>
      <c r="C65" t="inlineStr">
        <is>
          <t>Föryngringsavverkning</t>
        </is>
      </c>
      <c r="D65" s="1" t="n">
        <v>45425</v>
      </c>
      <c r="E65" s="1" t="n">
        <v>46317</v>
      </c>
      <c r="F65" t="inlineStr">
        <is>
          <t>STOCKHOLMS LÄN</t>
        </is>
      </c>
      <c r="G65" t="inlineStr">
        <is>
          <t>HANINGE</t>
        </is>
      </c>
      <c r="H65" t="inlineStr">
        <is>
          <t>Kommuner</t>
        </is>
      </c>
      <c r="I65" t="n">
        <v>7.3</v>
      </c>
      <c r="J65" t="n">
        <v>0</v>
      </c>
      <c r="K65" t="n">
        <v>0</v>
      </c>
      <c r="L65" t="n">
        <v>0</v>
      </c>
      <c r="M65" t="n">
        <v>0</v>
      </c>
      <c r="N65" t="n">
        <v>0</v>
      </c>
      <c r="O65" t="n">
        <v>0</v>
      </c>
      <c r="P65" t="n">
        <v>0</v>
      </c>
      <c r="Q65" t="n">
        <v>0</v>
      </c>
      <c r="R65" t="n">
        <v>0</v>
      </c>
      <c r="S65" t="n">
        <v>0</v>
      </c>
      <c r="T65" t="n">
        <v>0</v>
      </c>
      <c r="U65" t="n">
        <v>0</v>
      </c>
      <c r="V65" s="2" t="inlineStr"/>
    </row>
    <row r="66" ht="15" customHeight="1">
      <c r="A66" t="inlineStr">
        <is>
          <t>A 68894-2021</t>
        </is>
      </c>
      <c r="B66" t="inlineStr">
        <is>
          <t>avverkningsanmälan</t>
        </is>
      </c>
      <c r="C66" t="inlineStr">
        <is>
          <t>Föryngringsavverkning</t>
        </is>
      </c>
      <c r="D66" s="1" t="n">
        <v>44526</v>
      </c>
      <c r="E66" s="1" t="n">
        <v>46317</v>
      </c>
      <c r="F66" t="inlineStr">
        <is>
          <t>STOCKHOLMS LÄN</t>
        </is>
      </c>
      <c r="G66" t="inlineStr">
        <is>
          <t>HANINGE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13046-2022</t>
        </is>
      </c>
      <c r="B67" t="inlineStr">
        <is>
          <t>avverkningsanmälan</t>
        </is>
      </c>
      <c r="C67" t="inlineStr">
        <is>
          <t>Föryngringsavverkning</t>
        </is>
      </c>
      <c r="D67" s="1" t="n">
        <v>44643</v>
      </c>
      <c r="E67" s="1" t="n">
        <v>46317</v>
      </c>
      <c r="F67" t="inlineStr">
        <is>
          <t>STOCKHOLMS LÄN</t>
        </is>
      </c>
      <c r="G67" t="inlineStr">
        <is>
          <t>HANINGE</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8078-2024</t>
        </is>
      </c>
      <c r="B68" t="inlineStr">
        <is>
          <t>avverkningsanmälan</t>
        </is>
      </c>
      <c r="C68" t="inlineStr">
        <is>
          <t>Föryngringsavverkning</t>
        </is>
      </c>
      <c r="D68" s="1" t="n">
        <v>45351</v>
      </c>
      <c r="E68" s="1" t="n">
        <v>46317</v>
      </c>
      <c r="F68" t="inlineStr">
        <is>
          <t>STOCKHOLMS LÄN</t>
        </is>
      </c>
      <c r="G68" t="inlineStr">
        <is>
          <t>HANINGE</t>
        </is>
      </c>
      <c r="H68" t="inlineStr">
        <is>
          <t>Kommuner</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46317</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23666-2024</t>
        </is>
      </c>
      <c r="B70" t="inlineStr">
        <is>
          <t>avverkningsanmälan</t>
        </is>
      </c>
      <c r="C70" t="inlineStr">
        <is>
          <t>Föryngringsavverkning</t>
        </is>
      </c>
      <c r="D70" s="1" t="n">
        <v>45454</v>
      </c>
      <c r="E70" s="1" t="n">
        <v>46317</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9946-2024</t>
        </is>
      </c>
      <c r="B71" t="inlineStr">
        <is>
          <t>avverkningsanmälan</t>
        </is>
      </c>
      <c r="C71" t="inlineStr">
        <is>
          <t>Föryngringsavverkning</t>
        </is>
      </c>
      <c r="D71" s="1" t="n">
        <v>45363</v>
      </c>
      <c r="E71" s="1" t="n">
        <v>46317</v>
      </c>
      <c r="F71" t="inlineStr">
        <is>
          <t>STOCKHOLMS LÄN</t>
        </is>
      </c>
      <c r="G71" t="inlineStr">
        <is>
          <t>HANINGE</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46317</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52836-2024</t>
        </is>
      </c>
      <c r="B73" t="inlineStr">
        <is>
          <t>avverkningsanmälan</t>
        </is>
      </c>
      <c r="C73" t="inlineStr">
        <is>
          <t>Föryngringsavverkning</t>
        </is>
      </c>
      <c r="D73" s="1" t="n">
        <v>45610</v>
      </c>
      <c r="E73" s="1" t="n">
        <v>46317</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5474-2024</t>
        </is>
      </c>
      <c r="B74" t="inlineStr">
        <is>
          <t>avverkningsanmälan</t>
        </is>
      </c>
      <c r="C74" t="inlineStr">
        <is>
          <t>Föryngringsavverkning</t>
        </is>
      </c>
      <c r="D74" s="1" t="n">
        <v>45333</v>
      </c>
      <c r="E74" s="1" t="n">
        <v>46317</v>
      </c>
      <c r="F74" t="inlineStr">
        <is>
          <t>STOCKHOLMS LÄN</t>
        </is>
      </c>
      <c r="G74" t="inlineStr">
        <is>
          <t>HANINGE</t>
        </is>
      </c>
      <c r="H74" t="inlineStr">
        <is>
          <t>Kommuner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14900-2025</t>
        </is>
      </c>
      <c r="B75" t="inlineStr">
        <is>
          <t>avverkningsanmälan</t>
        </is>
      </c>
      <c r="C75" t="inlineStr">
        <is>
          <t>Föryngringsavverkning</t>
        </is>
      </c>
      <c r="D75" s="1" t="n">
        <v>45743</v>
      </c>
      <c r="E75" s="1" t="n">
        <v>46317</v>
      </c>
      <c r="F75" t="inlineStr">
        <is>
          <t>STOCKHOLMS LÄN</t>
        </is>
      </c>
      <c r="G75" t="inlineStr">
        <is>
          <t>HANINGE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42392-2026</t>
        </is>
      </c>
      <c r="B76" t="inlineStr">
        <is>
          <t>avverkningsanmälan</t>
        </is>
      </c>
      <c r="C76" t="inlineStr">
        <is>
          <t>Föryngringsavverkning</t>
        </is>
      </c>
      <c r="D76" s="1" t="n">
        <v>46307</v>
      </c>
      <c r="E76" s="1" t="n">
        <v>46317</v>
      </c>
      <c r="F76" t="inlineStr">
        <is>
          <t>STOCKHOLMS LÄN</t>
        </is>
      </c>
      <c r="G76" t="inlineStr">
        <is>
          <t>HANINGE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42952-2026</t>
        </is>
      </c>
      <c r="B77" t="inlineStr">
        <is>
          <t>avverkningsanmälan</t>
        </is>
      </c>
      <c r="C77" t="inlineStr">
        <is>
          <t>Föryngringsavverkning</t>
        </is>
      </c>
      <c r="D77" s="1" t="n">
        <v>46310</v>
      </c>
      <c r="E77" s="1" t="n">
        <v>46317</v>
      </c>
      <c r="F77" t="inlineStr">
        <is>
          <t>STOCKHOLMS LÄN</t>
        </is>
      </c>
      <c r="G77" t="inlineStr">
        <is>
          <t>HANINGE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42975-2026</t>
        </is>
      </c>
      <c r="B78" t="inlineStr">
        <is>
          <t>avverkningsanmälan</t>
        </is>
      </c>
      <c r="C78" t="inlineStr">
        <is>
          <t>Föryngringsavverkning</t>
        </is>
      </c>
      <c r="D78" s="1" t="n">
        <v>46310</v>
      </c>
      <c r="E78" s="1" t="n">
        <v>46317</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46317</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2026-10-22T01:53:49Z</dcterms:created>
  <dcterms:modified xmlns:dcterms="http://purl.org/dc/terms/" xmlns:xsi="http://www.w3.org/2001/XMLSchema-instance" xsi:type="dcterms:W3CDTF">2026-10-22T01:53:50Z</dcterms:modified>
</cp:coreProperties>
</file>