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45344</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45344</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45344</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45344</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45344</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45344</v>
      </c>
      <c r="D7" t="inlineStr">
        <is>
          <t>STOCKHOLMS LÄN</t>
        </is>
      </c>
      <c r="E7" t="inlineStr">
        <is>
          <t>HANINGE</t>
        </is>
      </c>
      <c r="F7" t="inlineStr">
        <is>
          <t>Övriga Aktiebolag</t>
        </is>
      </c>
      <c r="G7" t="n">
        <v>10.9</v>
      </c>
      <c r="H7" t="n">
        <v>4</v>
      </c>
      <c r="I7" t="n">
        <v>10</v>
      </c>
      <c r="J7" t="n">
        <v>2</v>
      </c>
      <c r="K7" t="n">
        <v>0</v>
      </c>
      <c r="L7" t="n">
        <v>0</v>
      </c>
      <c r="M7" t="n">
        <v>0</v>
      </c>
      <c r="N7" t="n">
        <v>0</v>
      </c>
      <c r="O7" t="n">
        <v>2</v>
      </c>
      <c r="P7" t="n">
        <v>0</v>
      </c>
      <c r="Q7" t="n">
        <v>14</v>
      </c>
      <c r="R7" s="2" t="inlineStr">
        <is>
          <t>Granticka
Vedtrappmossa
Bronshjon
Granbarkgnagare
Grön sköldmossa
Korallrot
Källmossor
Mörk husmossa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45344</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45344</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45344</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45344</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45344</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45344</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45344</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45344</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45344</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45344</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45344</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45344</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45344</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45344</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45344</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45344</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45344</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45344</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45344</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45344</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45344</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45344</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45344</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45344</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45344</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45344</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45344</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45344</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45344</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45344</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45344</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45344</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45344</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55516-2018</t>
        </is>
      </c>
      <c r="B41" s="1" t="n">
        <v>43391</v>
      </c>
      <c r="C41" s="1" t="n">
        <v>45344</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2575-2019</t>
        </is>
      </c>
      <c r="B42" s="1" t="n">
        <v>43476</v>
      </c>
      <c r="C42" s="1" t="n">
        <v>45344</v>
      </c>
      <c r="D42" t="inlineStr">
        <is>
          <t>STOCKHOLMS LÄN</t>
        </is>
      </c>
      <c r="E42" t="inlineStr">
        <is>
          <t>HANINGE</t>
        </is>
      </c>
      <c r="F42" t="inlineStr">
        <is>
          <t>Kommuner</t>
        </is>
      </c>
      <c r="G42" t="n">
        <v>2.6</v>
      </c>
      <c r="H42" t="n">
        <v>0</v>
      </c>
      <c r="I42" t="n">
        <v>0</v>
      </c>
      <c r="J42" t="n">
        <v>0</v>
      </c>
      <c r="K42" t="n">
        <v>0</v>
      </c>
      <c r="L42" t="n">
        <v>0</v>
      </c>
      <c r="M42" t="n">
        <v>0</v>
      </c>
      <c r="N42" t="n">
        <v>0</v>
      </c>
      <c r="O42" t="n">
        <v>0</v>
      </c>
      <c r="P42" t="n">
        <v>0</v>
      </c>
      <c r="Q42" t="n">
        <v>0</v>
      </c>
      <c r="R42" s="2" t="inlineStr"/>
    </row>
    <row r="43" ht="15" customHeight="1">
      <c r="A43" t="inlineStr">
        <is>
          <t>A 8087-2019</t>
        </is>
      </c>
      <c r="B43" s="1" t="n">
        <v>43495</v>
      </c>
      <c r="C43" s="1" t="n">
        <v>45344</v>
      </c>
      <c r="D43" t="inlineStr">
        <is>
          <t>STOCKHOLMS LÄN</t>
        </is>
      </c>
      <c r="E43" t="inlineStr">
        <is>
          <t>HANINGE</t>
        </is>
      </c>
      <c r="G43" t="n">
        <v>1.8</v>
      </c>
      <c r="H43" t="n">
        <v>0</v>
      </c>
      <c r="I43" t="n">
        <v>0</v>
      </c>
      <c r="J43" t="n">
        <v>0</v>
      </c>
      <c r="K43" t="n">
        <v>0</v>
      </c>
      <c r="L43" t="n">
        <v>0</v>
      </c>
      <c r="M43" t="n">
        <v>0</v>
      </c>
      <c r="N43" t="n">
        <v>0</v>
      </c>
      <c r="O43" t="n">
        <v>0</v>
      </c>
      <c r="P43" t="n">
        <v>0</v>
      </c>
      <c r="Q43" t="n">
        <v>0</v>
      </c>
      <c r="R43" s="2" t="inlineStr"/>
    </row>
    <row r="44" ht="15" customHeight="1">
      <c r="A44" t="inlineStr">
        <is>
          <t>A 8797-2019</t>
        </is>
      </c>
      <c r="B44" s="1" t="n">
        <v>43503</v>
      </c>
      <c r="C44" s="1" t="n">
        <v>45344</v>
      </c>
      <c r="D44" t="inlineStr">
        <is>
          <t>STOCKHOLMS LÄN</t>
        </is>
      </c>
      <c r="E44" t="inlineStr">
        <is>
          <t>HANINGE</t>
        </is>
      </c>
      <c r="F44" t="inlineStr">
        <is>
          <t>Övriga statliga verk och myndigheter</t>
        </is>
      </c>
      <c r="G44" t="n">
        <v>4.3</v>
      </c>
      <c r="H44" t="n">
        <v>0</v>
      </c>
      <c r="I44" t="n">
        <v>0</v>
      </c>
      <c r="J44" t="n">
        <v>0</v>
      </c>
      <c r="K44" t="n">
        <v>0</v>
      </c>
      <c r="L44" t="n">
        <v>0</v>
      </c>
      <c r="M44" t="n">
        <v>0</v>
      </c>
      <c r="N44" t="n">
        <v>0</v>
      </c>
      <c r="O44" t="n">
        <v>0</v>
      </c>
      <c r="P44" t="n">
        <v>0</v>
      </c>
      <c r="Q44" t="n">
        <v>0</v>
      </c>
      <c r="R44" s="2" t="inlineStr"/>
    </row>
    <row r="45" ht="15" customHeight="1">
      <c r="A45" t="inlineStr">
        <is>
          <t>A 12265-2019</t>
        </is>
      </c>
      <c r="B45" s="1" t="n">
        <v>43523</v>
      </c>
      <c r="C45" s="1" t="n">
        <v>45344</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34656-2019</t>
        </is>
      </c>
      <c r="B46" s="1" t="n">
        <v>43657</v>
      </c>
      <c r="C46" s="1" t="n">
        <v>45344</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45344</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45344</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45344</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45344</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45344</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45344</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45344</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45344</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45344</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45344</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45344</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45344</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45344</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45344</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45344</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45344</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45344</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45344</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45344</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45344</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45344</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45344</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45344</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45344</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45344</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45344</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45344</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45344</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45344</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45344</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45344</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45344</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45344</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45344</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45344</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45344</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45344</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13137-2022</t>
        </is>
      </c>
      <c r="B84" s="1" t="n">
        <v>44643</v>
      </c>
      <c r="C84" s="1" t="n">
        <v>45344</v>
      </c>
      <c r="D84" t="inlineStr">
        <is>
          <t>STOCKHOLMS LÄN</t>
        </is>
      </c>
      <c r="E84" t="inlineStr">
        <is>
          <t>HANINGE</t>
        </is>
      </c>
      <c r="G84" t="n">
        <v>5.6</v>
      </c>
      <c r="H84" t="n">
        <v>0</v>
      </c>
      <c r="I84" t="n">
        <v>0</v>
      </c>
      <c r="J84" t="n">
        <v>0</v>
      </c>
      <c r="K84" t="n">
        <v>0</v>
      </c>
      <c r="L84" t="n">
        <v>0</v>
      </c>
      <c r="M84" t="n">
        <v>0</v>
      </c>
      <c r="N84" t="n">
        <v>0</v>
      </c>
      <c r="O84" t="n">
        <v>0</v>
      </c>
      <c r="P84" t="n">
        <v>0</v>
      </c>
      <c r="Q84" t="n">
        <v>0</v>
      </c>
      <c r="R84" s="2" t="inlineStr"/>
    </row>
    <row r="85" ht="15" customHeight="1">
      <c r="A85" t="inlineStr">
        <is>
          <t>A 17020-2022</t>
        </is>
      </c>
      <c r="B85" s="1" t="n">
        <v>44676</v>
      </c>
      <c r="C85" s="1" t="n">
        <v>45344</v>
      </c>
      <c r="D85" t="inlineStr">
        <is>
          <t>STOCKHOLMS LÄN</t>
        </is>
      </c>
      <c r="E85" t="inlineStr">
        <is>
          <t>HANINGE</t>
        </is>
      </c>
      <c r="F85" t="inlineStr">
        <is>
          <t>Övriga statliga verk och myndigheter</t>
        </is>
      </c>
      <c r="G85" t="n">
        <v>12.4</v>
      </c>
      <c r="H85" t="n">
        <v>0</v>
      </c>
      <c r="I85" t="n">
        <v>0</v>
      </c>
      <c r="J85" t="n">
        <v>0</v>
      </c>
      <c r="K85" t="n">
        <v>0</v>
      </c>
      <c r="L85" t="n">
        <v>0</v>
      </c>
      <c r="M85" t="n">
        <v>0</v>
      </c>
      <c r="N85" t="n">
        <v>0</v>
      </c>
      <c r="O85" t="n">
        <v>0</v>
      </c>
      <c r="P85" t="n">
        <v>0</v>
      </c>
      <c r="Q85" t="n">
        <v>0</v>
      </c>
      <c r="R85" s="2" t="inlineStr"/>
    </row>
    <row r="86" ht="15" customHeight="1">
      <c r="A86" t="inlineStr">
        <is>
          <t>A 17023-2022</t>
        </is>
      </c>
      <c r="B86" s="1" t="n">
        <v>44676</v>
      </c>
      <c r="C86" s="1" t="n">
        <v>45344</v>
      </c>
      <c r="D86" t="inlineStr">
        <is>
          <t>STOCKHOLMS LÄN</t>
        </is>
      </c>
      <c r="E86" t="inlineStr">
        <is>
          <t>HANINGE</t>
        </is>
      </c>
      <c r="F86" t="inlineStr">
        <is>
          <t>Övriga statliga verk och myndigheter</t>
        </is>
      </c>
      <c r="G86" t="n">
        <v>11.4</v>
      </c>
      <c r="H86" t="n">
        <v>0</v>
      </c>
      <c r="I86" t="n">
        <v>0</v>
      </c>
      <c r="J86" t="n">
        <v>0</v>
      </c>
      <c r="K86" t="n">
        <v>0</v>
      </c>
      <c r="L86" t="n">
        <v>0</v>
      </c>
      <c r="M86" t="n">
        <v>0</v>
      </c>
      <c r="N86" t="n">
        <v>0</v>
      </c>
      <c r="O86" t="n">
        <v>0</v>
      </c>
      <c r="P86" t="n">
        <v>0</v>
      </c>
      <c r="Q86" t="n">
        <v>0</v>
      </c>
      <c r="R86" s="2" t="inlineStr"/>
    </row>
    <row r="87" ht="15" customHeight="1">
      <c r="A87" t="inlineStr">
        <is>
          <t>A 19652-2022</t>
        </is>
      </c>
      <c r="B87" s="1" t="n">
        <v>44694</v>
      </c>
      <c r="C87" s="1" t="n">
        <v>45344</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30419-2022</t>
        </is>
      </c>
      <c r="B88" s="1" t="n">
        <v>44761</v>
      </c>
      <c r="C88" s="1" t="n">
        <v>45344</v>
      </c>
      <c r="D88" t="inlineStr">
        <is>
          <t>STOCKHOLMS LÄN</t>
        </is>
      </c>
      <c r="E88" t="inlineStr">
        <is>
          <t>HANINGE</t>
        </is>
      </c>
      <c r="G88" t="n">
        <v>7.4</v>
      </c>
      <c r="H88" t="n">
        <v>0</v>
      </c>
      <c r="I88" t="n">
        <v>0</v>
      </c>
      <c r="J88" t="n">
        <v>0</v>
      </c>
      <c r="K88" t="n">
        <v>0</v>
      </c>
      <c r="L88" t="n">
        <v>0</v>
      </c>
      <c r="M88" t="n">
        <v>0</v>
      </c>
      <c r="N88" t="n">
        <v>0</v>
      </c>
      <c r="O88" t="n">
        <v>0</v>
      </c>
      <c r="P88" t="n">
        <v>0</v>
      </c>
      <c r="Q88" t="n">
        <v>0</v>
      </c>
      <c r="R88" s="2" t="inlineStr"/>
    </row>
    <row r="89" ht="15" customHeight="1">
      <c r="A89" t="inlineStr">
        <is>
          <t>A 37000-2022</t>
        </is>
      </c>
      <c r="B89" s="1" t="n">
        <v>44806</v>
      </c>
      <c r="C89" s="1" t="n">
        <v>45344</v>
      </c>
      <c r="D89" t="inlineStr">
        <is>
          <t>STOCKHOLMS LÄN</t>
        </is>
      </c>
      <c r="E89" t="inlineStr">
        <is>
          <t>HANINGE</t>
        </is>
      </c>
      <c r="F89" t="inlineStr">
        <is>
          <t>Övriga statliga verk och myndigheter</t>
        </is>
      </c>
      <c r="G89" t="n">
        <v>2</v>
      </c>
      <c r="H89" t="n">
        <v>0</v>
      </c>
      <c r="I89" t="n">
        <v>0</v>
      </c>
      <c r="J89" t="n">
        <v>0</v>
      </c>
      <c r="K89" t="n">
        <v>0</v>
      </c>
      <c r="L89" t="n">
        <v>0</v>
      </c>
      <c r="M89" t="n">
        <v>0</v>
      </c>
      <c r="N89" t="n">
        <v>0</v>
      </c>
      <c r="O89" t="n">
        <v>0</v>
      </c>
      <c r="P89" t="n">
        <v>0</v>
      </c>
      <c r="Q89" t="n">
        <v>0</v>
      </c>
      <c r="R89" s="2" t="inlineStr"/>
    </row>
    <row r="90" ht="15" customHeight="1">
      <c r="A90" t="inlineStr">
        <is>
          <t>A 41263-2022</t>
        </is>
      </c>
      <c r="B90" s="1" t="n">
        <v>44825</v>
      </c>
      <c r="C90" s="1" t="n">
        <v>45344</v>
      </c>
      <c r="D90" t="inlineStr">
        <is>
          <t>STOCKHOLMS LÄN</t>
        </is>
      </c>
      <c r="E90" t="inlineStr">
        <is>
          <t>HANINGE</t>
        </is>
      </c>
      <c r="F90" t="inlineStr">
        <is>
          <t>Övriga statliga verk och myndigheter</t>
        </is>
      </c>
      <c r="G90" t="n">
        <v>1.9</v>
      </c>
      <c r="H90" t="n">
        <v>0</v>
      </c>
      <c r="I90" t="n">
        <v>0</v>
      </c>
      <c r="J90" t="n">
        <v>0</v>
      </c>
      <c r="K90" t="n">
        <v>0</v>
      </c>
      <c r="L90" t="n">
        <v>0</v>
      </c>
      <c r="M90" t="n">
        <v>0</v>
      </c>
      <c r="N90" t="n">
        <v>0</v>
      </c>
      <c r="O90" t="n">
        <v>0</v>
      </c>
      <c r="P90" t="n">
        <v>0</v>
      </c>
      <c r="Q90" t="n">
        <v>0</v>
      </c>
      <c r="R90" s="2" t="inlineStr"/>
    </row>
    <row r="91" ht="15" customHeight="1">
      <c r="A91" t="inlineStr">
        <is>
          <t>A 41266-2022</t>
        </is>
      </c>
      <c r="B91" s="1" t="n">
        <v>44825</v>
      </c>
      <c r="C91" s="1" t="n">
        <v>45344</v>
      </c>
      <c r="D91" t="inlineStr">
        <is>
          <t>STOCKHOLMS LÄN</t>
        </is>
      </c>
      <c r="E91" t="inlineStr">
        <is>
          <t>HANINGE</t>
        </is>
      </c>
      <c r="F91" t="inlineStr">
        <is>
          <t>Övriga statliga verk och myndigheter</t>
        </is>
      </c>
      <c r="G91" t="n">
        <v>1.6</v>
      </c>
      <c r="H91" t="n">
        <v>0</v>
      </c>
      <c r="I91" t="n">
        <v>0</v>
      </c>
      <c r="J91" t="n">
        <v>0</v>
      </c>
      <c r="K91" t="n">
        <v>0</v>
      </c>
      <c r="L91" t="n">
        <v>0</v>
      </c>
      <c r="M91" t="n">
        <v>0</v>
      </c>
      <c r="N91" t="n">
        <v>0</v>
      </c>
      <c r="O91" t="n">
        <v>0</v>
      </c>
      <c r="P91" t="n">
        <v>0</v>
      </c>
      <c r="Q91" t="n">
        <v>0</v>
      </c>
      <c r="R91" s="2" t="inlineStr"/>
    </row>
    <row r="92" ht="15" customHeight="1">
      <c r="A92" t="inlineStr">
        <is>
          <t>A 41259-2022</t>
        </is>
      </c>
      <c r="B92" s="1" t="n">
        <v>44825</v>
      </c>
      <c r="C92" s="1" t="n">
        <v>45344</v>
      </c>
      <c r="D92" t="inlineStr">
        <is>
          <t>STOCKHOLMS LÄN</t>
        </is>
      </c>
      <c r="E92" t="inlineStr">
        <is>
          <t>HANINGE</t>
        </is>
      </c>
      <c r="F92" t="inlineStr">
        <is>
          <t>Övriga statliga verk och myndigheter</t>
        </is>
      </c>
      <c r="G92" t="n">
        <v>2.9</v>
      </c>
      <c r="H92" t="n">
        <v>0</v>
      </c>
      <c r="I92" t="n">
        <v>0</v>
      </c>
      <c r="J92" t="n">
        <v>0</v>
      </c>
      <c r="K92" t="n">
        <v>0</v>
      </c>
      <c r="L92" t="n">
        <v>0</v>
      </c>
      <c r="M92" t="n">
        <v>0</v>
      </c>
      <c r="N92" t="n">
        <v>0</v>
      </c>
      <c r="O92" t="n">
        <v>0</v>
      </c>
      <c r="P92" t="n">
        <v>0</v>
      </c>
      <c r="Q92" t="n">
        <v>0</v>
      </c>
      <c r="R92" s="2" t="inlineStr"/>
    </row>
    <row r="93" ht="15" customHeight="1">
      <c r="A93" t="inlineStr">
        <is>
          <t>A 45498-2022</t>
        </is>
      </c>
      <c r="B93" s="1" t="n">
        <v>44845</v>
      </c>
      <c r="C93" s="1" t="n">
        <v>45344</v>
      </c>
      <c r="D93" t="inlineStr">
        <is>
          <t>STOCKHOLMS LÄN</t>
        </is>
      </c>
      <c r="E93" t="inlineStr">
        <is>
          <t>HANINGE</t>
        </is>
      </c>
      <c r="G93" t="n">
        <v>2.1</v>
      </c>
      <c r="H93" t="n">
        <v>0</v>
      </c>
      <c r="I93" t="n">
        <v>0</v>
      </c>
      <c r="J93" t="n">
        <v>0</v>
      </c>
      <c r="K93" t="n">
        <v>0</v>
      </c>
      <c r="L93" t="n">
        <v>0</v>
      </c>
      <c r="M93" t="n">
        <v>0</v>
      </c>
      <c r="N93" t="n">
        <v>0</v>
      </c>
      <c r="O93" t="n">
        <v>0</v>
      </c>
      <c r="P93" t="n">
        <v>0</v>
      </c>
      <c r="Q93" t="n">
        <v>0</v>
      </c>
      <c r="R93" s="2" t="inlineStr"/>
    </row>
    <row r="94" ht="15" customHeight="1">
      <c r="A94" t="inlineStr">
        <is>
          <t>A 45501-2022</t>
        </is>
      </c>
      <c r="B94" s="1" t="n">
        <v>44845</v>
      </c>
      <c r="C94" s="1" t="n">
        <v>45344</v>
      </c>
      <c r="D94" t="inlineStr">
        <is>
          <t>STOCKHOLMS LÄN</t>
        </is>
      </c>
      <c r="E94" t="inlineStr">
        <is>
          <t>HANINGE</t>
        </is>
      </c>
      <c r="G94" t="n">
        <v>2.7</v>
      </c>
      <c r="H94" t="n">
        <v>0</v>
      </c>
      <c r="I94" t="n">
        <v>0</v>
      </c>
      <c r="J94" t="n">
        <v>0</v>
      </c>
      <c r="K94" t="n">
        <v>0</v>
      </c>
      <c r="L94" t="n">
        <v>0</v>
      </c>
      <c r="M94" t="n">
        <v>0</v>
      </c>
      <c r="N94" t="n">
        <v>0</v>
      </c>
      <c r="O94" t="n">
        <v>0</v>
      </c>
      <c r="P94" t="n">
        <v>0</v>
      </c>
      <c r="Q94" t="n">
        <v>0</v>
      </c>
      <c r="R94" s="2" t="inlineStr"/>
    </row>
    <row r="95" ht="15" customHeight="1">
      <c r="A95" t="inlineStr">
        <is>
          <t>A 1703-2023</t>
        </is>
      </c>
      <c r="B95" s="1" t="n">
        <v>44938</v>
      </c>
      <c r="C95" s="1" t="n">
        <v>45344</v>
      </c>
      <c r="D95" t="inlineStr">
        <is>
          <t>STOCKHOLMS LÄN</t>
        </is>
      </c>
      <c r="E95" t="inlineStr">
        <is>
          <t>HANINGE</t>
        </is>
      </c>
      <c r="G95" t="n">
        <v>1.8</v>
      </c>
      <c r="H95" t="n">
        <v>0</v>
      </c>
      <c r="I95" t="n">
        <v>0</v>
      </c>
      <c r="J95" t="n">
        <v>0</v>
      </c>
      <c r="K95" t="n">
        <v>0</v>
      </c>
      <c r="L95" t="n">
        <v>0</v>
      </c>
      <c r="M95" t="n">
        <v>0</v>
      </c>
      <c r="N95" t="n">
        <v>0</v>
      </c>
      <c r="O95" t="n">
        <v>0</v>
      </c>
      <c r="P95" t="n">
        <v>0</v>
      </c>
      <c r="Q95" t="n">
        <v>0</v>
      </c>
      <c r="R95" s="2" t="inlineStr"/>
    </row>
    <row r="96" ht="15" customHeight="1">
      <c r="A96" t="inlineStr">
        <is>
          <t>A 5243-2023</t>
        </is>
      </c>
      <c r="B96" s="1" t="n">
        <v>44956</v>
      </c>
      <c r="C96" s="1" t="n">
        <v>45344</v>
      </c>
      <c r="D96" t="inlineStr">
        <is>
          <t>STOCKHOLMS LÄN</t>
        </is>
      </c>
      <c r="E96" t="inlineStr">
        <is>
          <t>HANINGE</t>
        </is>
      </c>
      <c r="G96" t="n">
        <v>3.7</v>
      </c>
      <c r="H96" t="n">
        <v>0</v>
      </c>
      <c r="I96" t="n">
        <v>0</v>
      </c>
      <c r="J96" t="n">
        <v>0</v>
      </c>
      <c r="K96" t="n">
        <v>0</v>
      </c>
      <c r="L96" t="n">
        <v>0</v>
      </c>
      <c r="M96" t="n">
        <v>0</v>
      </c>
      <c r="N96" t="n">
        <v>0</v>
      </c>
      <c r="O96" t="n">
        <v>0</v>
      </c>
      <c r="P96" t="n">
        <v>0</v>
      </c>
      <c r="Q96" t="n">
        <v>0</v>
      </c>
      <c r="R96" s="2" t="inlineStr"/>
    </row>
    <row r="97" ht="15" customHeight="1">
      <c r="A97" t="inlineStr">
        <is>
          <t>A 6648-2023</t>
        </is>
      </c>
      <c r="B97" s="1" t="n">
        <v>44966</v>
      </c>
      <c r="C97" s="1" t="n">
        <v>45344</v>
      </c>
      <c r="D97" t="inlineStr">
        <is>
          <t>STOCKHOLMS LÄN</t>
        </is>
      </c>
      <c r="E97" t="inlineStr">
        <is>
          <t>HANINGE</t>
        </is>
      </c>
      <c r="G97" t="n">
        <v>4</v>
      </c>
      <c r="H97" t="n">
        <v>0</v>
      </c>
      <c r="I97" t="n">
        <v>0</v>
      </c>
      <c r="J97" t="n">
        <v>0</v>
      </c>
      <c r="K97" t="n">
        <v>0</v>
      </c>
      <c r="L97" t="n">
        <v>0</v>
      </c>
      <c r="M97" t="n">
        <v>0</v>
      </c>
      <c r="N97" t="n">
        <v>0</v>
      </c>
      <c r="O97" t="n">
        <v>0</v>
      </c>
      <c r="P97" t="n">
        <v>0</v>
      </c>
      <c r="Q97" t="n">
        <v>0</v>
      </c>
      <c r="R97" s="2" t="inlineStr"/>
    </row>
    <row r="98" ht="15" customHeight="1">
      <c r="A98" t="inlineStr">
        <is>
          <t>A 16842-2023</t>
        </is>
      </c>
      <c r="B98" s="1" t="n">
        <v>45033</v>
      </c>
      <c r="C98" s="1" t="n">
        <v>45344</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19220-2023</t>
        </is>
      </c>
      <c r="B99" s="1" t="n">
        <v>45048</v>
      </c>
      <c r="C99" s="1" t="n">
        <v>45344</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22288-2023</t>
        </is>
      </c>
      <c r="B100" s="1" t="n">
        <v>45070</v>
      </c>
      <c r="C100" s="1" t="n">
        <v>45344</v>
      </c>
      <c r="D100" t="inlineStr">
        <is>
          <t>STOCKHOLMS LÄN</t>
        </is>
      </c>
      <c r="E100" t="inlineStr">
        <is>
          <t>HANINGE</t>
        </is>
      </c>
      <c r="G100" t="n">
        <v>2.8</v>
      </c>
      <c r="H100" t="n">
        <v>0</v>
      </c>
      <c r="I100" t="n">
        <v>0</v>
      </c>
      <c r="J100" t="n">
        <v>0</v>
      </c>
      <c r="K100" t="n">
        <v>0</v>
      </c>
      <c r="L100" t="n">
        <v>0</v>
      </c>
      <c r="M100" t="n">
        <v>0</v>
      </c>
      <c r="N100" t="n">
        <v>0</v>
      </c>
      <c r="O100" t="n">
        <v>0</v>
      </c>
      <c r="P100" t="n">
        <v>0</v>
      </c>
      <c r="Q100" t="n">
        <v>0</v>
      </c>
      <c r="R100" s="2" t="inlineStr"/>
    </row>
    <row r="101" ht="15" customHeight="1">
      <c r="A101" t="inlineStr">
        <is>
          <t>A 24873-2023</t>
        </is>
      </c>
      <c r="B101" s="1" t="n">
        <v>45085</v>
      </c>
      <c r="C101" s="1" t="n">
        <v>45344</v>
      </c>
      <c r="D101" t="inlineStr">
        <is>
          <t>STOCKHOLMS LÄN</t>
        </is>
      </c>
      <c r="E101" t="inlineStr">
        <is>
          <t>HANINGE</t>
        </is>
      </c>
      <c r="G101" t="n">
        <v>1.9</v>
      </c>
      <c r="H101" t="n">
        <v>0</v>
      </c>
      <c r="I101" t="n">
        <v>0</v>
      </c>
      <c r="J101" t="n">
        <v>0</v>
      </c>
      <c r="K101" t="n">
        <v>0</v>
      </c>
      <c r="L101" t="n">
        <v>0</v>
      </c>
      <c r="M101" t="n">
        <v>0</v>
      </c>
      <c r="N101" t="n">
        <v>0</v>
      </c>
      <c r="O101" t="n">
        <v>0</v>
      </c>
      <c r="P101" t="n">
        <v>0</v>
      </c>
      <c r="Q101" t="n">
        <v>0</v>
      </c>
      <c r="R101" s="2" t="inlineStr"/>
    </row>
    <row r="102" ht="15" customHeight="1">
      <c r="A102" t="inlineStr">
        <is>
          <t>A 25584-2023</t>
        </is>
      </c>
      <c r="B102" s="1" t="n">
        <v>45089</v>
      </c>
      <c r="C102" s="1" t="n">
        <v>45344</v>
      </c>
      <c r="D102" t="inlineStr">
        <is>
          <t>STOCKHOLMS LÄN</t>
        </is>
      </c>
      <c r="E102" t="inlineStr">
        <is>
          <t>HANINGE</t>
        </is>
      </c>
      <c r="G102" t="n">
        <v>4.8</v>
      </c>
      <c r="H102" t="n">
        <v>0</v>
      </c>
      <c r="I102" t="n">
        <v>0</v>
      </c>
      <c r="J102" t="n">
        <v>0</v>
      </c>
      <c r="K102" t="n">
        <v>0</v>
      </c>
      <c r="L102" t="n">
        <v>0</v>
      </c>
      <c r="M102" t="n">
        <v>0</v>
      </c>
      <c r="N102" t="n">
        <v>0</v>
      </c>
      <c r="O102" t="n">
        <v>0</v>
      </c>
      <c r="P102" t="n">
        <v>0</v>
      </c>
      <c r="Q102" t="n">
        <v>0</v>
      </c>
      <c r="R102" s="2" t="inlineStr"/>
    </row>
    <row r="103" ht="15" customHeight="1">
      <c r="A103" t="inlineStr">
        <is>
          <t>A 33792-2023</t>
        </is>
      </c>
      <c r="B103" s="1" t="n">
        <v>45121</v>
      </c>
      <c r="C103" s="1" t="n">
        <v>45344</v>
      </c>
      <c r="D103" t="inlineStr">
        <is>
          <t>STOCKHOLMS LÄN</t>
        </is>
      </c>
      <c r="E103" t="inlineStr">
        <is>
          <t>HANINGE</t>
        </is>
      </c>
      <c r="G103" t="n">
        <v>1.4</v>
      </c>
      <c r="H103" t="n">
        <v>0</v>
      </c>
      <c r="I103" t="n">
        <v>0</v>
      </c>
      <c r="J103" t="n">
        <v>0</v>
      </c>
      <c r="K103" t="n">
        <v>0</v>
      </c>
      <c r="L103" t="n">
        <v>0</v>
      </c>
      <c r="M103" t="n">
        <v>0</v>
      </c>
      <c r="N103" t="n">
        <v>0</v>
      </c>
      <c r="O103" t="n">
        <v>0</v>
      </c>
      <c r="P103" t="n">
        <v>0</v>
      </c>
      <c r="Q103" t="n">
        <v>0</v>
      </c>
      <c r="R103" s="2" t="inlineStr"/>
    </row>
    <row r="104" ht="15" customHeight="1">
      <c r="A104" t="inlineStr">
        <is>
          <t>A 34171-2023</t>
        </is>
      </c>
      <c r="B104" s="1" t="n">
        <v>45126</v>
      </c>
      <c r="C104" s="1" t="n">
        <v>45344</v>
      </c>
      <c r="D104" t="inlineStr">
        <is>
          <t>STOCKHOLMS LÄN</t>
        </is>
      </c>
      <c r="E104" t="inlineStr">
        <is>
          <t>HANINGE</t>
        </is>
      </c>
      <c r="G104" t="n">
        <v>1.5</v>
      </c>
      <c r="H104" t="n">
        <v>0</v>
      </c>
      <c r="I104" t="n">
        <v>0</v>
      </c>
      <c r="J104" t="n">
        <v>0</v>
      </c>
      <c r="K104" t="n">
        <v>0</v>
      </c>
      <c r="L104" t="n">
        <v>0</v>
      </c>
      <c r="M104" t="n">
        <v>0</v>
      </c>
      <c r="N104" t="n">
        <v>0</v>
      </c>
      <c r="O104" t="n">
        <v>0</v>
      </c>
      <c r="P104" t="n">
        <v>0</v>
      </c>
      <c r="Q104" t="n">
        <v>0</v>
      </c>
      <c r="R104" s="2" t="inlineStr"/>
    </row>
    <row r="105" ht="15" customHeight="1">
      <c r="A105" t="inlineStr">
        <is>
          <t>A 50306-2023</t>
        </is>
      </c>
      <c r="B105" s="1" t="n">
        <v>45209</v>
      </c>
      <c r="C105" s="1" t="n">
        <v>45344</v>
      </c>
      <c r="D105" t="inlineStr">
        <is>
          <t>STOCKHOLMS LÄN</t>
        </is>
      </c>
      <c r="E105" t="inlineStr">
        <is>
          <t>HANINGE</t>
        </is>
      </c>
      <c r="G105" t="n">
        <v>2.3</v>
      </c>
      <c r="H105" t="n">
        <v>0</v>
      </c>
      <c r="I105" t="n">
        <v>0</v>
      </c>
      <c r="J105" t="n">
        <v>0</v>
      </c>
      <c r="K105" t="n">
        <v>0</v>
      </c>
      <c r="L105" t="n">
        <v>0</v>
      </c>
      <c r="M105" t="n">
        <v>0</v>
      </c>
      <c r="N105" t="n">
        <v>0</v>
      </c>
      <c r="O105" t="n">
        <v>0</v>
      </c>
      <c r="P105" t="n">
        <v>0</v>
      </c>
      <c r="Q105" t="n">
        <v>0</v>
      </c>
      <c r="R105" s="2" t="inlineStr"/>
      <c r="U105">
        <f>HYPERLINK("https://klasma.github.io/Logging_0136/knärot/A 50306-2023 karta knärot.png", "A 50306-2023")</f>
        <v/>
      </c>
      <c r="V105">
        <f>HYPERLINK("https://klasma.github.io/Logging_0136/klagomål/A 50306-2023 FSC-klagomål.docx", "A 50306-2023")</f>
        <v/>
      </c>
      <c r="W105">
        <f>HYPERLINK("https://klasma.github.io/Logging_0136/klagomålsmail/A 50306-2023 FSC-klagomål mail.docx", "A 50306-2023")</f>
        <v/>
      </c>
      <c r="X105">
        <f>HYPERLINK("https://klasma.github.io/Logging_0136/tillsyn/A 50306-2023 tillsynsbegäran.docx", "A 50306-2023")</f>
        <v/>
      </c>
      <c r="Y105">
        <f>HYPERLINK("https://klasma.github.io/Logging_0136/tillsynsmail/A 50306-2023 tillsynsbegäran mail.docx", "A 50306-2023")</f>
        <v/>
      </c>
    </row>
    <row r="106" ht="15" customHeight="1">
      <c r="A106" t="inlineStr">
        <is>
          <t>A 56392-2023</t>
        </is>
      </c>
      <c r="B106" s="1" t="n">
        <v>45237</v>
      </c>
      <c r="C106" s="1" t="n">
        <v>45344</v>
      </c>
      <c r="D106" t="inlineStr">
        <is>
          <t>STOCKHOLMS LÄN</t>
        </is>
      </c>
      <c r="E106" t="inlineStr">
        <is>
          <t>HANINGE</t>
        </is>
      </c>
      <c r="G106" t="n">
        <v>2.5</v>
      </c>
      <c r="H106" t="n">
        <v>0</v>
      </c>
      <c r="I106" t="n">
        <v>0</v>
      </c>
      <c r="J106" t="n">
        <v>0</v>
      </c>
      <c r="K106" t="n">
        <v>0</v>
      </c>
      <c r="L106" t="n">
        <v>0</v>
      </c>
      <c r="M106" t="n">
        <v>0</v>
      </c>
      <c r="N106" t="n">
        <v>0</v>
      </c>
      <c r="O106" t="n">
        <v>0</v>
      </c>
      <c r="P106" t="n">
        <v>0</v>
      </c>
      <c r="Q106" t="n">
        <v>0</v>
      </c>
      <c r="R106" s="2" t="inlineStr"/>
    </row>
    <row r="107" ht="15" customHeight="1">
      <c r="A107" t="inlineStr">
        <is>
          <t>A 58589-2023</t>
        </is>
      </c>
      <c r="B107" s="1" t="n">
        <v>45251</v>
      </c>
      <c r="C107" s="1" t="n">
        <v>45344</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row>
    <row r="108" ht="15" customHeight="1">
      <c r="A108" t="inlineStr">
        <is>
          <t>A 58605-2023</t>
        </is>
      </c>
      <c r="B108" s="1" t="n">
        <v>45251</v>
      </c>
      <c r="C108" s="1" t="n">
        <v>45344</v>
      </c>
      <c r="D108" t="inlineStr">
        <is>
          <t>STOCKHOLMS LÄN</t>
        </is>
      </c>
      <c r="E108" t="inlineStr">
        <is>
          <t>HANINGE</t>
        </is>
      </c>
      <c r="G108" t="n">
        <v>2</v>
      </c>
      <c r="H108" t="n">
        <v>0</v>
      </c>
      <c r="I108" t="n">
        <v>0</v>
      </c>
      <c r="J108" t="n">
        <v>0</v>
      </c>
      <c r="K108" t="n">
        <v>0</v>
      </c>
      <c r="L108" t="n">
        <v>0</v>
      </c>
      <c r="M108" t="n">
        <v>0</v>
      </c>
      <c r="N108" t="n">
        <v>0</v>
      </c>
      <c r="O108" t="n">
        <v>0</v>
      </c>
      <c r="P108" t="n">
        <v>0</v>
      </c>
      <c r="Q108" t="n">
        <v>0</v>
      </c>
      <c r="R108" s="2" t="inlineStr"/>
    </row>
    <row r="109" ht="15" customHeight="1">
      <c r="A109" t="inlineStr">
        <is>
          <t>A 58599-2023</t>
        </is>
      </c>
      <c r="B109" s="1" t="n">
        <v>45251</v>
      </c>
      <c r="C109" s="1" t="n">
        <v>45344</v>
      </c>
      <c r="D109" t="inlineStr">
        <is>
          <t>STOCKHOLMS LÄN</t>
        </is>
      </c>
      <c r="E109" t="inlineStr">
        <is>
          <t>HANINGE</t>
        </is>
      </c>
      <c r="G109" t="n">
        <v>3.2</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45344</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45344</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45344</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45344</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45344</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45344</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60294-2023</t>
        </is>
      </c>
      <c r="B116" s="1" t="n">
        <v>45258</v>
      </c>
      <c r="C116" s="1" t="n">
        <v>45344</v>
      </c>
      <c r="D116" t="inlineStr">
        <is>
          <t>STOCKHOLMS LÄN</t>
        </is>
      </c>
      <c r="E116" t="inlineStr">
        <is>
          <t>HANINGE</t>
        </is>
      </c>
      <c r="G116" t="n">
        <v>2.2</v>
      </c>
      <c r="H116" t="n">
        <v>0</v>
      </c>
      <c r="I116" t="n">
        <v>0</v>
      </c>
      <c r="J116" t="n">
        <v>0</v>
      </c>
      <c r="K116" t="n">
        <v>0</v>
      </c>
      <c r="L116" t="n">
        <v>0</v>
      </c>
      <c r="M116" t="n">
        <v>0</v>
      </c>
      <c r="N116" t="n">
        <v>0</v>
      </c>
      <c r="O116" t="n">
        <v>0</v>
      </c>
      <c r="P116" t="n">
        <v>0</v>
      </c>
      <c r="Q116" t="n">
        <v>0</v>
      </c>
      <c r="R116" s="2" t="inlineStr"/>
    </row>
    <row r="117" ht="15" customHeight="1">
      <c r="A117" t="inlineStr">
        <is>
          <t>A 60282-2023</t>
        </is>
      </c>
      <c r="B117" s="1" t="n">
        <v>45258</v>
      </c>
      <c r="C117" s="1" t="n">
        <v>45344</v>
      </c>
      <c r="D117" t="inlineStr">
        <is>
          <t>STOCKHOLMS LÄN</t>
        </is>
      </c>
      <c r="E117" t="inlineStr">
        <is>
          <t>HANINGE</t>
        </is>
      </c>
      <c r="G117" t="n">
        <v>1.9</v>
      </c>
      <c r="H117" t="n">
        <v>0</v>
      </c>
      <c r="I117" t="n">
        <v>0</v>
      </c>
      <c r="J117" t="n">
        <v>0</v>
      </c>
      <c r="K117" t="n">
        <v>0</v>
      </c>
      <c r="L117" t="n">
        <v>0</v>
      </c>
      <c r="M117" t="n">
        <v>0</v>
      </c>
      <c r="N117" t="n">
        <v>0</v>
      </c>
      <c r="O117" t="n">
        <v>0</v>
      </c>
      <c r="P117" t="n">
        <v>0</v>
      </c>
      <c r="Q117" t="n">
        <v>0</v>
      </c>
      <c r="R117" s="2" t="inlineStr"/>
    </row>
    <row r="118" ht="15" customHeight="1">
      <c r="A118" t="inlineStr">
        <is>
          <t>A 64075-2023</t>
        </is>
      </c>
      <c r="B118" s="1" t="n">
        <v>45279</v>
      </c>
      <c r="C118" s="1" t="n">
        <v>45344</v>
      </c>
      <c r="D118" t="inlineStr">
        <is>
          <t>STOCKHOLMS LÄN</t>
        </is>
      </c>
      <c r="E118" t="inlineStr">
        <is>
          <t>HANINGE</t>
        </is>
      </c>
      <c r="G118" t="n">
        <v>2.6</v>
      </c>
      <c r="H118" t="n">
        <v>0</v>
      </c>
      <c r="I118" t="n">
        <v>0</v>
      </c>
      <c r="J118" t="n">
        <v>0</v>
      </c>
      <c r="K118" t="n">
        <v>0</v>
      </c>
      <c r="L118" t="n">
        <v>0</v>
      </c>
      <c r="M118" t="n">
        <v>0</v>
      </c>
      <c r="N118" t="n">
        <v>0</v>
      </c>
      <c r="O118" t="n">
        <v>0</v>
      </c>
      <c r="P118" t="n">
        <v>0</v>
      </c>
      <c r="Q118" t="n">
        <v>0</v>
      </c>
      <c r="R118" s="2" t="inlineStr"/>
    </row>
    <row r="119" ht="15" customHeight="1">
      <c r="A119" t="inlineStr">
        <is>
          <t>A 64568-2023</t>
        </is>
      </c>
      <c r="B119" s="1" t="n">
        <v>45281</v>
      </c>
      <c r="C119" s="1" t="n">
        <v>45344</v>
      </c>
      <c r="D119" t="inlineStr">
        <is>
          <t>STOCKHOLMS LÄN</t>
        </is>
      </c>
      <c r="E119" t="inlineStr">
        <is>
          <t>HANINGE</t>
        </is>
      </c>
      <c r="G119" t="n">
        <v>3.1</v>
      </c>
      <c r="H119" t="n">
        <v>0</v>
      </c>
      <c r="I119" t="n">
        <v>0</v>
      </c>
      <c r="J119" t="n">
        <v>0</v>
      </c>
      <c r="K119" t="n">
        <v>0</v>
      </c>
      <c r="L119" t="n">
        <v>0</v>
      </c>
      <c r="M119" t="n">
        <v>0</v>
      </c>
      <c r="N119" t="n">
        <v>0</v>
      </c>
      <c r="O119" t="n">
        <v>0</v>
      </c>
      <c r="P119" t="n">
        <v>0</v>
      </c>
      <c r="Q119" t="n">
        <v>0</v>
      </c>
      <c r="R119" s="2" t="inlineStr"/>
    </row>
    <row r="120" ht="15" customHeight="1">
      <c r="A120" t="inlineStr">
        <is>
          <t>A 1139-2024</t>
        </is>
      </c>
      <c r="B120" s="1" t="n">
        <v>45302</v>
      </c>
      <c r="C120" s="1" t="n">
        <v>45344</v>
      </c>
      <c r="D120" t="inlineStr">
        <is>
          <t>STOCKHOLMS LÄN</t>
        </is>
      </c>
      <c r="E120" t="inlineStr">
        <is>
          <t>HANINGE</t>
        </is>
      </c>
      <c r="G120" t="n">
        <v>6.6</v>
      </c>
      <c r="H120" t="n">
        <v>0</v>
      </c>
      <c r="I120" t="n">
        <v>0</v>
      </c>
      <c r="J120" t="n">
        <v>0</v>
      </c>
      <c r="K120" t="n">
        <v>0</v>
      </c>
      <c r="L120" t="n">
        <v>0</v>
      </c>
      <c r="M120" t="n">
        <v>0</v>
      </c>
      <c r="N120" t="n">
        <v>0</v>
      </c>
      <c r="O120" t="n">
        <v>0</v>
      </c>
      <c r="P120" t="n">
        <v>0</v>
      </c>
      <c r="Q120" t="n">
        <v>0</v>
      </c>
      <c r="R120" s="2" t="inlineStr"/>
    </row>
    <row r="121" ht="15" customHeight="1">
      <c r="A121" t="inlineStr">
        <is>
          <t>A 1180-2024</t>
        </is>
      </c>
      <c r="B121" s="1" t="n">
        <v>45302</v>
      </c>
      <c r="C121" s="1" t="n">
        <v>45344</v>
      </c>
      <c r="D121" t="inlineStr">
        <is>
          <t>STOCKHOLMS LÄN</t>
        </is>
      </c>
      <c r="E121" t="inlineStr">
        <is>
          <t>HANINGE</t>
        </is>
      </c>
      <c r="G121" t="n">
        <v>2</v>
      </c>
      <c r="H121" t="n">
        <v>0</v>
      </c>
      <c r="I121" t="n">
        <v>0</v>
      </c>
      <c r="J121" t="n">
        <v>0</v>
      </c>
      <c r="K121" t="n">
        <v>0</v>
      </c>
      <c r="L121" t="n">
        <v>0</v>
      </c>
      <c r="M121" t="n">
        <v>0</v>
      </c>
      <c r="N121" t="n">
        <v>0</v>
      </c>
      <c r="O121" t="n">
        <v>0</v>
      </c>
      <c r="P121" t="n">
        <v>0</v>
      </c>
      <c r="Q121" t="n">
        <v>0</v>
      </c>
      <c r="R121" s="2" t="inlineStr"/>
    </row>
    <row r="122" ht="15" customHeight="1">
      <c r="A122" t="inlineStr">
        <is>
          <t>A 1184-2024</t>
        </is>
      </c>
      <c r="B122" s="1" t="n">
        <v>45302</v>
      </c>
      <c r="C122" s="1" t="n">
        <v>45344</v>
      </c>
      <c r="D122" t="inlineStr">
        <is>
          <t>STOCKHOLMS LÄN</t>
        </is>
      </c>
      <c r="E122" t="inlineStr">
        <is>
          <t>HANINGE</t>
        </is>
      </c>
      <c r="G122" t="n">
        <v>3.6</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45344</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45344</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1181-2024</t>
        </is>
      </c>
      <c r="B125" s="1" t="n">
        <v>45302</v>
      </c>
      <c r="C125" s="1" t="n">
        <v>45344</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1189-2024</t>
        </is>
      </c>
      <c r="B126" s="1" t="n">
        <v>45302</v>
      </c>
      <c r="C126" s="1" t="n">
        <v>45344</v>
      </c>
      <c r="D126" t="inlineStr">
        <is>
          <t>STOCKHOLMS LÄN</t>
        </is>
      </c>
      <c r="E126" t="inlineStr">
        <is>
          <t>HANINGE</t>
        </is>
      </c>
      <c r="G126" t="n">
        <v>2.1</v>
      </c>
      <c r="H126" t="n">
        <v>0</v>
      </c>
      <c r="I126" t="n">
        <v>0</v>
      </c>
      <c r="J126" t="n">
        <v>0</v>
      </c>
      <c r="K126" t="n">
        <v>0</v>
      </c>
      <c r="L126" t="n">
        <v>0</v>
      </c>
      <c r="M126" t="n">
        <v>0</v>
      </c>
      <c r="N126" t="n">
        <v>0</v>
      </c>
      <c r="O126" t="n">
        <v>0</v>
      </c>
      <c r="P126" t="n">
        <v>0</v>
      </c>
      <c r="Q126" t="n">
        <v>0</v>
      </c>
      <c r="R126" s="2" t="inlineStr"/>
    </row>
    <row r="127" ht="15" customHeight="1">
      <c r="A127" t="inlineStr">
        <is>
          <t>A 3952-2024</t>
        </is>
      </c>
      <c r="B127" s="1" t="n">
        <v>45322</v>
      </c>
      <c r="C127" s="1" t="n">
        <v>45344</v>
      </c>
      <c r="D127" t="inlineStr">
        <is>
          <t>STOCKHOLMS LÄN</t>
        </is>
      </c>
      <c r="E127" t="inlineStr">
        <is>
          <t>HANINGE</t>
        </is>
      </c>
      <c r="G127" t="n">
        <v>1.7</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45344</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c r="A129" t="inlineStr">
        <is>
          <t>A 5474-2024</t>
        </is>
      </c>
      <c r="B129" s="1" t="n">
        <v>45333</v>
      </c>
      <c r="C129" s="1" t="n">
        <v>45344</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2024-02-22T06:46:26Z</dcterms:created>
  <dcterms:modified xmlns:dcterms="http://purl.org/dc/terms/" xmlns:xsi="http://www.w3.org/2001/XMLSchema-instance" xsi:type="dcterms:W3CDTF">2024-02-22T06:46:26Z</dcterms:modified>
</cp:coreProperties>
</file>