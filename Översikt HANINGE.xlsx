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46216</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46216</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46216</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46216</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46216</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46216</v>
      </c>
      <c r="F7" t="inlineStr">
        <is>
          <t>STOCKHOLMS LÄN</t>
        </is>
      </c>
      <c r="G7" t="inlineStr">
        <is>
          <t>HANINGE</t>
        </is>
      </c>
      <c r="I7" t="n">
        <v>2.2</v>
      </c>
      <c r="J7" t="n">
        <v>9</v>
      </c>
      <c r="K7" t="n">
        <v>10</v>
      </c>
      <c r="L7" t="n">
        <v>11</v>
      </c>
      <c r="M7" t="n">
        <v>1</v>
      </c>
      <c r="N7" t="n">
        <v>0</v>
      </c>
      <c r="O7" t="n">
        <v>0</v>
      </c>
      <c r="P7" t="n">
        <v>0</v>
      </c>
      <c r="Q7" t="n">
        <v>12</v>
      </c>
      <c r="R7" t="n">
        <v>1</v>
      </c>
      <c r="S7" t="n">
        <v>26</v>
      </c>
      <c r="T7" t="n">
        <v>55</v>
      </c>
      <c r="U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7">
        <f>HYPERLINK("https://klasma.github.io/Logging_0136/artfynd/A 3152-2025 artfynd.xlsx", "A 3152-2025")</f>
        <v/>
      </c>
      <c r="W7">
        <f>HYPERLINK("https://klasma.github.io/Logging_0136/kartor/A 3152-2025 karta.png", "A 3152-2025")</f>
        <v/>
      </c>
      <c r="X7">
        <f>HYPERLINK("https://klasma.github.io/Logging_0136/knärot/A 3152-2025 karta knärot.png", "A 3152-2025")</f>
        <v/>
      </c>
      <c r="Y7">
        <f>HYPERLINK("https://klasma.github.io/Logging_0136/klagomål/A 3152-2025 FSC-klagomål.docx", "A 3152-2025")</f>
        <v/>
      </c>
      <c r="Z7">
        <f>HYPERLINK("https://klasma.github.io/Logging_0136/klagomålsmail/A 3152-2025 FSC-klagomål mail.docx", "A 3152-2025")</f>
        <v/>
      </c>
      <c r="AA7">
        <f>HYPERLINK("https://klasma.github.io/Logging_0136/tillsyn/A 3152-2025 tillsynsbegäran.docx", "A 3152-2025")</f>
        <v/>
      </c>
      <c r="AB7">
        <f>HYPERLINK("https://klasma.github.io/Logging_0136/tillsynsmail/A 3152-2025 tillsynsbegäran mail.docx", "A 3152-2025")</f>
        <v/>
      </c>
      <c r="AC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46216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8">
        <f>HYPERLINK("https://klasma.github.io/Logging_0136/artfynd/A 67868-2021 artfynd.xlsx", "A 67868-2021")</f>
        <v/>
      </c>
      <c r="W8">
        <f>HYPERLINK("https://klasma.github.io/Logging_0136/kartor/A 67868-2021 karta.png", "A 67868-2021")</f>
        <v/>
      </c>
      <c r="Y8">
        <f>HYPERLINK("https://klasma.github.io/Logging_0136/klagomål/A 67868-2021 FSC-klagomål.docx", "A 67868-2021")</f>
        <v/>
      </c>
      <c r="Z8">
        <f>HYPERLINK("https://klasma.github.io/Logging_0136/klagomålsmail/A 67868-2021 FSC-klagomål mail.docx", "A 67868-2021")</f>
        <v/>
      </c>
      <c r="AA8">
        <f>HYPERLINK("https://klasma.github.io/Logging_0136/tillsyn/A 67868-2021 tillsynsbegäran.docx", "A 67868-2021")</f>
        <v/>
      </c>
      <c r="AB8">
        <f>HYPERLINK("https://klasma.github.io/Logging_0136/tillsynsmail/A 67868-2021 tillsynsbegäran mail.docx", "A 67868-2021")</f>
        <v/>
      </c>
      <c r="AC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46216</v>
      </c>
      <c r="F9" t="inlineStr">
        <is>
          <t>STOCKHOLMS LÄN</t>
        </is>
      </c>
      <c r="G9" t="inlineStr">
        <is>
          <t>HANINGE</t>
        </is>
      </c>
      <c r="I9" t="n">
        <v>5.1</v>
      </c>
      <c r="J9" t="n">
        <v>4</v>
      </c>
      <c r="K9" t="n">
        <v>10</v>
      </c>
      <c r="L9" t="n">
        <v>9</v>
      </c>
      <c r="M9" t="n">
        <v>1</v>
      </c>
      <c r="N9" t="n">
        <v>0</v>
      </c>
      <c r="O9" t="n">
        <v>0</v>
      </c>
      <c r="P9" t="n">
        <v>0</v>
      </c>
      <c r="Q9" t="n">
        <v>10</v>
      </c>
      <c r="R9" t="n">
        <v>1</v>
      </c>
      <c r="S9" t="n">
        <v>22</v>
      </c>
      <c r="T9" t="n">
        <v>48</v>
      </c>
      <c r="U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9">
        <f>HYPERLINK("https://klasma.github.io/Logging_0136/artfynd/A 67894-2021 artfynd.xlsx", "A 67894-2021")</f>
        <v/>
      </c>
      <c r="W9">
        <f>HYPERLINK("https://klasma.github.io/Logging_0136/kartor/A 67894-2021 karta.png", "A 67894-2021")</f>
        <v/>
      </c>
      <c r="Y9">
        <f>HYPERLINK("https://klasma.github.io/Logging_0136/klagomål/A 67894-2021 FSC-klagomål.docx", "A 67894-2021")</f>
        <v/>
      </c>
      <c r="Z9">
        <f>HYPERLINK("https://klasma.github.io/Logging_0136/klagomålsmail/A 67894-2021 FSC-klagomål mail.docx", "A 67894-2021")</f>
        <v/>
      </c>
      <c r="AA9">
        <f>HYPERLINK("https://klasma.github.io/Logging_0136/tillsyn/A 67894-2021 tillsynsbegäran.docx", "A 67894-2021")</f>
        <v/>
      </c>
      <c r="AB9">
        <f>HYPERLINK("https://klasma.github.io/Logging_0136/tillsynsmail/A 67894-2021 tillsynsbegäran mail.docx", "A 67894-2021")</f>
        <v/>
      </c>
      <c r="AC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46216</v>
      </c>
      <c r="F10" t="inlineStr">
        <is>
          <t>STOCKHOLMS LÄN</t>
        </is>
      </c>
      <c r="G10" t="inlineStr">
        <is>
          <t>HANINGE</t>
        </is>
      </c>
      <c r="I10" t="n">
        <v>2.6</v>
      </c>
      <c r="J10" t="n">
        <v>8</v>
      </c>
      <c r="K10" t="n">
        <v>9</v>
      </c>
      <c r="L10" t="n">
        <v>3</v>
      </c>
      <c r="M10" t="n">
        <v>1</v>
      </c>
      <c r="N10" t="n">
        <v>0</v>
      </c>
      <c r="O10" t="n">
        <v>0</v>
      </c>
      <c r="P10" t="n">
        <v>0</v>
      </c>
      <c r="Q10" t="n">
        <v>4</v>
      </c>
      <c r="R10" t="n">
        <v>1</v>
      </c>
      <c r="S10" t="n">
        <v>21</v>
      </c>
      <c r="T10" t="n">
        <v>47</v>
      </c>
      <c r="U10"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0">
        <f>HYPERLINK("https://klasma.github.io/Logging_0136/artfynd/A 59566-2025 artfynd.xlsx", "A 59566-2025")</f>
        <v/>
      </c>
      <c r="W10">
        <f>HYPERLINK("https://klasma.github.io/Logging_0136/kartor/A 59566-2025 karta.png", "A 59566-2025")</f>
        <v/>
      </c>
      <c r="Y10">
        <f>HYPERLINK("https://klasma.github.io/Logging_0136/klagomål/A 59566-2025 FSC-klagomål.docx", "A 59566-2025")</f>
        <v/>
      </c>
      <c r="Z10">
        <f>HYPERLINK("https://klasma.github.io/Logging_0136/klagomålsmail/A 59566-2025 FSC-klagomål mail.docx", "A 59566-2025")</f>
        <v/>
      </c>
      <c r="AA10">
        <f>HYPERLINK("https://klasma.github.io/Logging_0136/tillsyn/A 59566-2025 tillsynsbegäran.docx", "A 59566-2025")</f>
        <v/>
      </c>
      <c r="AB10">
        <f>HYPERLINK("https://klasma.github.io/Logging_0136/tillsynsmail/A 59566-2025 tillsynsbegäran mail.docx", "A 59566-2025")</f>
        <v/>
      </c>
      <c r="AC10">
        <f>HYPERLINK("https://klasma.github.io/Logging_0136/fåglar/A 59566-2025 prioriterade fågelarter.docx", "A 59566-2025")</f>
        <v/>
      </c>
    </row>
    <row r="11" ht="15" customHeight="1">
      <c r="A11" t="inlineStr">
        <is>
          <t>S 2416-2024</t>
        </is>
      </c>
      <c r="B11" t="inlineStr">
        <is>
          <t>samrådsanmälan</t>
        </is>
      </c>
      <c r="C11" t="inlineStr">
        <is>
          <t>Annan skogsbruksåtgärd</t>
        </is>
      </c>
      <c r="D11" s="1" t="n">
        <v>45469</v>
      </c>
      <c r="E11" s="1" t="n">
        <v>46216</v>
      </c>
      <c r="F11" t="inlineStr">
        <is>
          <t>STOCKHOLMS LÄN</t>
        </is>
      </c>
      <c r="G11" t="inlineStr">
        <is>
          <t>HANINGE</t>
        </is>
      </c>
      <c r="I11" t="n">
        <v>4</v>
      </c>
      <c r="J11" t="n">
        <v>6</v>
      </c>
      <c r="K11" t="n">
        <v>11</v>
      </c>
      <c r="L11" t="n">
        <v>5</v>
      </c>
      <c r="M11" t="n">
        <v>0</v>
      </c>
      <c r="N11" t="n">
        <v>0</v>
      </c>
      <c r="O11" t="n">
        <v>0</v>
      </c>
      <c r="P11" t="n">
        <v>0</v>
      </c>
      <c r="Q11" t="n">
        <v>5</v>
      </c>
      <c r="R11" t="n">
        <v>0</v>
      </c>
      <c r="S11" t="n">
        <v>21</v>
      </c>
      <c r="T11" t="n">
        <v>46</v>
      </c>
      <c r="U11"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1">
        <f>HYPERLINK("https://klasma.github.io/Logging_0136/artfynd/S 2416-2024 artfynd.xlsx", "S 2416-2024")</f>
        <v/>
      </c>
      <c r="W11">
        <f>HYPERLINK("https://klasma.github.io/Logging_0136/kartor/S 2416-2024 karta.png", "S 2416-2024")</f>
        <v/>
      </c>
      <c r="Y11">
        <f>HYPERLINK("https://klasma.github.io/Logging_0136/klagomål/S 2416-2024 FSC-klagomål.docx", "S 2416-2024")</f>
        <v/>
      </c>
      <c r="Z11">
        <f>HYPERLINK("https://klasma.github.io/Logging_0136/klagomålsmail/S 2416-2024 FSC-klagomål mail.docx", "S 2416-2024")</f>
        <v/>
      </c>
      <c r="AA11">
        <f>HYPERLINK("https://klasma.github.io/Logging_0136/tillsyn/S 2416-2024 tillsynsbegäran.docx", "S 2416-2024")</f>
        <v/>
      </c>
      <c r="AB11">
        <f>HYPERLINK("https://klasma.github.io/Logging_0136/tillsynsmail/S 2416-2024 tillsynsbegäran mail.docx", "S 2416-2024")</f>
        <v/>
      </c>
      <c r="AC11">
        <f>HYPERLINK("https://klasma.github.io/Logging_0136/fåglar/S 2416-2024 prioriterade fågelarter.docx", "S 2416-2024")</f>
        <v/>
      </c>
    </row>
    <row r="12" ht="15" customHeight="1">
      <c r="A12" t="inlineStr">
        <is>
          <t>A 17454-2026</t>
        </is>
      </c>
      <c r="B12" t="inlineStr">
        <is>
          <t>avverkningsanmälan</t>
        </is>
      </c>
      <c r="C12" t="inlineStr">
        <is>
          <t>Föryngringsavverkning</t>
        </is>
      </c>
      <c r="D12" s="1" t="n">
        <v>46120</v>
      </c>
      <c r="E12" s="1" t="n">
        <v>46216</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2">
        <f>HYPERLINK("https://klasma.github.io/Logging_0136/artfynd/A 17454-2026 artfynd.xlsx", "A 17454-2026")</f>
        <v/>
      </c>
      <c r="W12">
        <f>HYPERLINK("https://klasma.github.io/Logging_0136/kartor/A 17454-2026 karta.png", "A 17454-2026")</f>
        <v/>
      </c>
      <c r="X12">
        <f>HYPERLINK("https://klasma.github.io/Logging_0136/knärot/A 17454-2026 karta knärot.png", "A 17454-2026")</f>
        <v/>
      </c>
      <c r="Y12">
        <f>HYPERLINK("https://klasma.github.io/Logging_0136/klagomål/A 17454-2026 FSC-klagomål.docx", "A 17454-2026")</f>
        <v/>
      </c>
      <c r="Z12">
        <f>HYPERLINK("https://klasma.github.io/Logging_0136/klagomålsmail/A 17454-2026 FSC-klagomål mail.docx", "A 17454-2026")</f>
        <v/>
      </c>
      <c r="AA12">
        <f>HYPERLINK("https://klasma.github.io/Logging_0136/tillsyn/A 17454-2026 tillsynsbegäran.docx", "A 17454-2026")</f>
        <v/>
      </c>
      <c r="AB12">
        <f>HYPERLINK("https://klasma.github.io/Logging_0136/tillsynsmail/A 17454-2026 tillsynsbegäran mail.docx", "A 17454-2026")</f>
        <v/>
      </c>
      <c r="AC12">
        <f>HYPERLINK("https://klasma.github.io/Logging_0136/fåglar/A 17454-2026 prioriterade fågelarter.docx", "A 17454-2026")</f>
        <v/>
      </c>
    </row>
    <row r="13" ht="15" customHeight="1">
      <c r="A13" t="inlineStr">
        <is>
          <t>A 24801-2026</t>
        </is>
      </c>
      <c r="B13" t="inlineStr">
        <is>
          <t>avverkningsanmälan</t>
        </is>
      </c>
      <c r="C13" t="inlineStr">
        <is>
          <t>Föryngringsavverkning</t>
        </is>
      </c>
      <c r="D13" s="1" t="n">
        <v>46171</v>
      </c>
      <c r="E13" s="1" t="n">
        <v>46216</v>
      </c>
      <c r="F13" t="inlineStr">
        <is>
          <t>STOCKHOLMS LÄN</t>
        </is>
      </c>
      <c r="G13" t="inlineStr">
        <is>
          <t>HANINGE</t>
        </is>
      </c>
      <c r="I13" t="n">
        <v>7.1</v>
      </c>
      <c r="J13" t="n">
        <v>5</v>
      </c>
      <c r="K13" t="n">
        <v>9</v>
      </c>
      <c r="L13" t="n">
        <v>4</v>
      </c>
      <c r="M13" t="n">
        <v>1</v>
      </c>
      <c r="N13" t="n">
        <v>0</v>
      </c>
      <c r="O13" t="n">
        <v>0</v>
      </c>
      <c r="P13" t="n">
        <v>0</v>
      </c>
      <c r="Q13" t="n">
        <v>5</v>
      </c>
      <c r="R13" t="n">
        <v>1</v>
      </c>
      <c r="S13" t="n">
        <v>19</v>
      </c>
      <c r="T13" t="n">
        <v>30</v>
      </c>
      <c r="U13" s="2" t="inlineStr">
        <is>
          <t>Knärot
Blanksvart spiklav
Kolflarnlav
Talltita
Ullticka
Björksplintborre
Blåmossa
Bronshjon
Granbarkgnagare
Jättesvampmal
Stubbspretmossa
Thomsons trägnagare
Vedticka
Vågbandad barkbock
Kransmossa
Skriftlav
Spillkråka
Tofsmes
Fläcknycklar</t>
        </is>
      </c>
      <c r="V13">
        <f>HYPERLINK("https://klasma.github.io/Logging_0136/artfynd/A 24801-2026 artfynd.xlsx", "A 24801-2026")</f>
        <v/>
      </c>
      <c r="W13">
        <f>HYPERLINK("https://klasma.github.io/Logging_0136/kartor/A 24801-2026 karta.png", "A 24801-2026")</f>
        <v/>
      </c>
      <c r="X13">
        <f>HYPERLINK("https://klasma.github.io/Logging_0136/knärot/A 24801-2026 karta knärot.png", "A 24801-2026")</f>
        <v/>
      </c>
      <c r="Y13">
        <f>HYPERLINK("https://klasma.github.io/Logging_0136/klagomål/A 24801-2026 FSC-klagomål.docx", "A 24801-2026")</f>
        <v/>
      </c>
      <c r="Z13">
        <f>HYPERLINK("https://klasma.github.io/Logging_0136/klagomålsmail/A 24801-2026 FSC-klagomål mail.docx", "A 24801-2026")</f>
        <v/>
      </c>
      <c r="AA13">
        <f>HYPERLINK("https://klasma.github.io/Logging_0136/tillsyn/A 24801-2026 tillsynsbegäran.docx", "A 24801-2026")</f>
        <v/>
      </c>
      <c r="AB13">
        <f>HYPERLINK("https://klasma.github.io/Logging_0136/tillsynsmail/A 24801-2026 tillsynsbegäran mail.docx", "A 24801-2026")</f>
        <v/>
      </c>
      <c r="AC13">
        <f>HYPERLINK("https://klasma.github.io/Logging_0136/fåglar/A 24801-2026 prioriterade fågelarter.docx", "A 24801-2026")</f>
        <v/>
      </c>
    </row>
    <row r="14" ht="15" customHeight="1">
      <c r="A14" t="inlineStr">
        <is>
          <t>A 59567-2025</t>
        </is>
      </c>
      <c r="B14" t="inlineStr">
        <is>
          <t>avverkningsanmälan</t>
        </is>
      </c>
      <c r="C14" t="inlineStr">
        <is>
          <t>Föryngringsavverkning</t>
        </is>
      </c>
      <c r="D14" s="1" t="n">
        <v>45991</v>
      </c>
      <c r="E14" s="1" t="n">
        <v>46216</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46216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46216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46216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46216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46216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46216</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46216</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46216</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46216</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46216</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46216</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46216</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s="2" t="inlineStr">
        <is>
          <t>Fjällvråk</t>
        </is>
      </c>
      <c r="V26">
        <f>HYPERLINK("https://klasma.github.io/Logging_0136/artfynd/A 59570-2025 artfynd.xlsx", "A 59570-2025")</f>
        <v/>
      </c>
      <c r="W26">
        <f>HYPERLINK("https://klasma.github.io/Logging_0136/kartor/A 59570-2025 karta.png", "A 59570-2025")</f>
        <v/>
      </c>
      <c r="Y26">
        <f>HYPERLINK("https://klasma.github.io/Logging_0136/klagomål/A 59570-2025 FSC-klagomål.docx", "A 59570-2025")</f>
        <v/>
      </c>
      <c r="Z26">
        <f>HYPERLINK("https://klasma.github.io/Logging_0136/klagomålsmail/A 59570-2025 FSC-klagomål mail.docx", "A 59570-2025")</f>
        <v/>
      </c>
      <c r="AA26">
        <f>HYPERLINK("https://klasma.github.io/Logging_0136/tillsyn/A 59570-2025 tillsynsbegäran.docx", "A 59570-2025")</f>
        <v/>
      </c>
      <c r="AB26">
        <f>HYPERLINK("https://klasma.github.io/Logging_0136/tillsynsmail/A 59570-2025 tillsynsbegäran mail.docx", "A 59570-2025")</f>
        <v/>
      </c>
      <c r="AC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46216</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s="2" t="inlineStr">
        <is>
          <t>Mörk kraterlav</t>
        </is>
      </c>
      <c r="V27">
        <f>HYPERLINK("https://klasma.github.io/Logging_0136/artfynd/A 34823-2022 artfynd.xlsx", "A 34823-2022")</f>
        <v/>
      </c>
      <c r="W27">
        <f>HYPERLINK("https://klasma.github.io/Logging_0136/kartor/A 34823-2022 karta.png", "A 34823-2022")</f>
        <v/>
      </c>
      <c r="Y27">
        <f>HYPERLINK("https://klasma.github.io/Logging_0136/klagomål/A 34823-2022 FSC-klagomål.docx", "A 34823-2022")</f>
        <v/>
      </c>
      <c r="Z27">
        <f>HYPERLINK("https://klasma.github.io/Logging_0136/klagomålsmail/A 34823-2022 FSC-klagomål mail.docx", "A 34823-2022")</f>
        <v/>
      </c>
      <c r="AA27">
        <f>HYPERLINK("https://klasma.github.io/Logging_0136/tillsyn/A 34823-2022 tillsynsbegäran.docx", "A 34823-2022")</f>
        <v/>
      </c>
      <c r="AB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46216</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s="2" t="inlineStr">
        <is>
          <t>Nötkråka</t>
        </is>
      </c>
      <c r="V28">
        <f>HYPERLINK("https://klasma.github.io/Logging_0136/artfynd/A 6648-2023 artfynd.xlsx", "A 6648-2023")</f>
        <v/>
      </c>
      <c r="W28">
        <f>HYPERLINK("https://klasma.github.io/Logging_0136/kartor/A 6648-2023 karta.png", "A 6648-2023")</f>
        <v/>
      </c>
      <c r="Y28">
        <f>HYPERLINK("https://klasma.github.io/Logging_0136/klagomål/A 6648-2023 FSC-klagomål.docx", "A 6648-2023")</f>
        <v/>
      </c>
      <c r="Z28">
        <f>HYPERLINK("https://klasma.github.io/Logging_0136/klagomålsmail/A 6648-2023 FSC-klagomål mail.docx", "A 6648-2023")</f>
        <v/>
      </c>
      <c r="AA28">
        <f>HYPERLINK("https://klasma.github.io/Logging_0136/tillsyn/A 6648-2023 tillsynsbegäran.docx", "A 6648-2023")</f>
        <v/>
      </c>
      <c r="AB28">
        <f>HYPERLINK("https://klasma.github.io/Logging_0136/tillsynsmail/A 6648-2023 tillsynsbegäran mail.docx", "A 6648-2023")</f>
        <v/>
      </c>
      <c r="AC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46216</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s="2" t="inlineStr">
        <is>
          <t>Mattlummer</t>
        </is>
      </c>
      <c r="V29">
        <f>HYPERLINK("https://klasma.github.io/Logging_0136/artfynd/A 60369-2023 artfynd.xlsx", "A 60369-2023")</f>
        <v/>
      </c>
      <c r="W29">
        <f>HYPERLINK("https://klasma.github.io/Logging_0136/kartor/A 60369-2023 karta.png", "A 60369-2023")</f>
        <v/>
      </c>
      <c r="Y29">
        <f>HYPERLINK("https://klasma.github.io/Logging_0136/klagomål/A 60369-2023 FSC-klagomål.docx", "A 60369-2023")</f>
        <v/>
      </c>
      <c r="Z29">
        <f>HYPERLINK("https://klasma.github.io/Logging_0136/klagomålsmail/A 60369-2023 FSC-klagomål mail.docx", "A 60369-2023")</f>
        <v/>
      </c>
      <c r="AA29">
        <f>HYPERLINK("https://klasma.github.io/Logging_0136/tillsyn/A 60369-2023 tillsynsbegäran.docx", "A 60369-2023")</f>
        <v/>
      </c>
      <c r="AB29">
        <f>HYPERLINK("https://klasma.github.io/Logging_0136/tillsynsmail/A 60369-2023 tillsynsbegäran mail.docx", "A 60369-2023")</f>
        <v/>
      </c>
    </row>
    <row r="30" ht="15" customHeight="1">
      <c r="A30" t="inlineStr">
        <is>
          <t>A 28861-2026</t>
        </is>
      </c>
      <c r="B30" t="inlineStr">
        <is>
          <t>avverkningsanmälan</t>
        </is>
      </c>
      <c r="C30" t="inlineStr">
        <is>
          <t>Avverkning för annat ändamål</t>
        </is>
      </c>
      <c r="D30" s="1" t="n">
        <v>46199</v>
      </c>
      <c r="E30" s="1" t="n">
        <v>46216</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46216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46216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46216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46216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46216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46216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46216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46216</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46216</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46216</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46216</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46216</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46216</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46216</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4297-2024</t>
        </is>
      </c>
      <c r="B45" t="inlineStr">
        <is>
          <t>avverkningsanmälan</t>
        </is>
      </c>
      <c r="C45" t="inlineStr">
        <is>
          <t>Föryngringsavverkning</t>
        </is>
      </c>
      <c r="D45" s="1" t="n">
        <v>45324</v>
      </c>
      <c r="E45" s="1" t="n">
        <v>46216</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s="2" t="inlineStr"/>
    </row>
    <row r="46" ht="15" customHeight="1">
      <c r="A46" t="inlineStr">
        <is>
          <t>A 9946-2024</t>
        </is>
      </c>
      <c r="B46" t="inlineStr">
        <is>
          <t>avverkningsanmälan</t>
        </is>
      </c>
      <c r="C46" t="inlineStr">
        <is>
          <t>Föryngringsavverkning</t>
        </is>
      </c>
      <c r="D46" s="1" t="n">
        <v>45363</v>
      </c>
      <c r="E46" s="1" t="n">
        <v>46216</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s="2" t="inlineStr"/>
    </row>
    <row r="47" ht="15" customHeight="1">
      <c r="A47" t="inlineStr">
        <is>
          <t>A 41809-2021</t>
        </is>
      </c>
      <c r="B47" t="inlineStr">
        <is>
          <t>avverkningsanmälan</t>
        </is>
      </c>
      <c r="C47" t="inlineStr">
        <is>
          <t>Föryngringsavverkning</t>
        </is>
      </c>
      <c r="D47" s="1" t="n">
        <v>44425</v>
      </c>
      <c r="E47" s="1" t="n">
        <v>46216</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s="2" t="inlineStr"/>
    </row>
    <row r="48" ht="15" customHeight="1">
      <c r="A48" t="inlineStr">
        <is>
          <t>A 13046-2022</t>
        </is>
      </c>
      <c r="B48" t="inlineStr">
        <is>
          <t>avverkningsanmälan</t>
        </is>
      </c>
      <c r="C48" t="inlineStr">
        <is>
          <t>Föryngringsavverkning</t>
        </is>
      </c>
      <c r="D48" s="1" t="n">
        <v>44643</v>
      </c>
      <c r="E48" s="1" t="n">
        <v>46216</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s="2" t="inlineStr"/>
    </row>
    <row r="49" ht="15" customHeight="1">
      <c r="A49" t="inlineStr">
        <is>
          <t>A 50306-2023</t>
        </is>
      </c>
      <c r="B49" t="inlineStr">
        <is>
          <t>avverkningsanmälan</t>
        </is>
      </c>
      <c r="C49" t="inlineStr">
        <is>
          <t>Föryngringsavverkning</t>
        </is>
      </c>
      <c r="D49" s="1" t="n">
        <v>45209</v>
      </c>
      <c r="E49" s="1" t="n">
        <v>46216</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s="2" t="inlineStr"/>
      <c r="X49">
        <f>HYPERLINK("https://klasma.github.io/Logging_0136/knärot/A 50306-2023 karta knärot.png", "A 50306-2023")</f>
        <v/>
      </c>
      <c r="Y49">
        <f>HYPERLINK("https://klasma.github.io/Logging_0136/klagomål/A 50306-2023 FSC-klagomål.docx", "A 50306-2023")</f>
        <v/>
      </c>
      <c r="Z49">
        <f>HYPERLINK("https://klasma.github.io/Logging_0136/klagomålsmail/A 50306-2023 FSC-klagomål mail.docx", "A 50306-2023")</f>
        <v/>
      </c>
      <c r="AA49">
        <f>HYPERLINK("https://klasma.github.io/Logging_0136/tillsyn/A 50306-2023 tillsynsbegäran.docx", "A 50306-2023")</f>
        <v/>
      </c>
      <c r="AB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46216</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s="2" t="inlineStr"/>
    </row>
    <row r="51" ht="15" customHeight="1">
      <c r="A51" t="inlineStr">
        <is>
          <t>A 27596-2025</t>
        </is>
      </c>
      <c r="B51" t="inlineStr">
        <is>
          <t>avverkningsanmälan</t>
        </is>
      </c>
      <c r="C51" t="inlineStr">
        <is>
          <t>Avverkning för att bevara och utveckla /försöksver</t>
        </is>
      </c>
      <c r="D51" s="1" t="n">
        <v>45813</v>
      </c>
      <c r="E51" s="1" t="n">
        <v>46216</v>
      </c>
      <c r="F51" t="inlineStr">
        <is>
          <t>STOCKHOLMS LÄN</t>
        </is>
      </c>
      <c r="G51" t="inlineStr">
        <is>
          <t>HANINGE</t>
        </is>
      </c>
      <c r="I51" t="n">
        <v>0.1</v>
      </c>
      <c r="J51" t="n">
        <v>0</v>
      </c>
      <c r="K51" t="n">
        <v>0</v>
      </c>
      <c r="L51" t="n">
        <v>0</v>
      </c>
      <c r="M51" t="n">
        <v>0</v>
      </c>
      <c r="N51" t="n">
        <v>0</v>
      </c>
      <c r="O51" t="n">
        <v>0</v>
      </c>
      <c r="P51" t="n">
        <v>0</v>
      </c>
      <c r="Q51" t="n">
        <v>0</v>
      </c>
      <c r="R51" t="n">
        <v>0</v>
      </c>
      <c r="S51" t="n">
        <v>0</v>
      </c>
      <c r="T51" t="n">
        <v>0</v>
      </c>
      <c r="U51" s="2" t="inlineStr"/>
    </row>
    <row r="52" ht="15" customHeight="1">
      <c r="A52" t="inlineStr">
        <is>
          <t>A 38595-2021</t>
        </is>
      </c>
      <c r="B52" t="inlineStr">
        <is>
          <t>avverkningsanmälan</t>
        </is>
      </c>
      <c r="C52" t="inlineStr">
        <is>
          <t>Avverkning för annat ändamål</t>
        </is>
      </c>
      <c r="D52" s="1" t="n">
        <v>44407</v>
      </c>
      <c r="E52" s="1" t="n">
        <v>46216</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s="2" t="inlineStr"/>
    </row>
    <row r="53" ht="15" customHeight="1">
      <c r="A53" t="inlineStr">
        <is>
          <t>A 14264-2025</t>
        </is>
      </c>
      <c r="B53" t="inlineStr">
        <is>
          <t>avverkningsanmälan</t>
        </is>
      </c>
      <c r="C53" t="inlineStr">
        <is>
          <t>Föryngringsavverkning</t>
        </is>
      </c>
      <c r="D53" s="1" t="n">
        <v>45740</v>
      </c>
      <c r="E53" s="1" t="n">
        <v>46216</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s="2" t="inlineStr"/>
    </row>
    <row r="54" ht="15" customHeight="1">
      <c r="A54" t="inlineStr">
        <is>
          <t>A 18512-2024</t>
        </is>
      </c>
      <c r="B54" t="inlineStr">
        <is>
          <t>avverkningsanmälan</t>
        </is>
      </c>
      <c r="C54" t="inlineStr">
        <is>
          <t>Föryngringsavverkning</t>
        </is>
      </c>
      <c r="D54" s="1" t="n">
        <v>45425</v>
      </c>
      <c r="E54" s="1" t="n">
        <v>46216</v>
      </c>
      <c r="F54" t="inlineStr">
        <is>
          <t>STOCKHOLMS LÄN</t>
        </is>
      </c>
      <c r="G54" t="inlineStr">
        <is>
          <t>HANINGE</t>
        </is>
      </c>
      <c r="H54" t="inlineStr">
        <is>
          <t>Kommuner</t>
        </is>
      </c>
      <c r="I54" t="n">
        <v>0.7</v>
      </c>
      <c r="J54" t="n">
        <v>0</v>
      </c>
      <c r="K54" t="n">
        <v>0</v>
      </c>
      <c r="L54" t="n">
        <v>0</v>
      </c>
      <c r="M54" t="n">
        <v>0</v>
      </c>
      <c r="N54" t="n">
        <v>0</v>
      </c>
      <c r="O54" t="n">
        <v>0</v>
      </c>
      <c r="P54" t="n">
        <v>0</v>
      </c>
      <c r="Q54" t="n">
        <v>0</v>
      </c>
      <c r="R54" t="n">
        <v>0</v>
      </c>
      <c r="S54" t="n">
        <v>0</v>
      </c>
      <c r="T54" t="n">
        <v>0</v>
      </c>
      <c r="U54" s="2" t="inlineStr"/>
    </row>
    <row r="55" ht="15" customHeight="1">
      <c r="A55" t="inlineStr">
        <is>
          <t>A 59569-2025</t>
        </is>
      </c>
      <c r="B55" t="inlineStr">
        <is>
          <t>avverkningsanmälan</t>
        </is>
      </c>
      <c r="C55" t="inlineStr">
        <is>
          <t>Föryngringsavverkning</t>
        </is>
      </c>
      <c r="D55" s="1" t="n">
        <v>45991</v>
      </c>
      <c r="E55" s="1" t="n">
        <v>46216</v>
      </c>
      <c r="F55" t="inlineStr">
        <is>
          <t>STOCKHOLMS LÄN</t>
        </is>
      </c>
      <c r="G55" t="inlineStr">
        <is>
          <t>HANINGE</t>
        </is>
      </c>
      <c r="I55" t="n">
        <v>1.3</v>
      </c>
      <c r="J55" t="n">
        <v>0</v>
      </c>
      <c r="K55" t="n">
        <v>0</v>
      </c>
      <c r="L55" t="n">
        <v>0</v>
      </c>
      <c r="M55" t="n">
        <v>0</v>
      </c>
      <c r="N55" t="n">
        <v>0</v>
      </c>
      <c r="O55" t="n">
        <v>0</v>
      </c>
      <c r="P55" t="n">
        <v>0</v>
      </c>
      <c r="Q55" t="n">
        <v>0</v>
      </c>
      <c r="R55" t="n">
        <v>0</v>
      </c>
      <c r="S55" t="n">
        <v>0</v>
      </c>
      <c r="T55" t="n">
        <v>0</v>
      </c>
      <c r="U55" s="2" t="inlineStr"/>
    </row>
    <row r="56" ht="15" customHeight="1">
      <c r="A56" t="inlineStr">
        <is>
          <t>A 18528-2024</t>
        </is>
      </c>
      <c r="B56" t="inlineStr">
        <is>
          <t>avverkningsanmälan</t>
        </is>
      </c>
      <c r="C56" t="inlineStr">
        <is>
          <t>Föryngringsavverkning</t>
        </is>
      </c>
      <c r="D56" s="1" t="n">
        <v>45425</v>
      </c>
      <c r="E56" s="1" t="n">
        <v>46216</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s="2" t="inlineStr"/>
    </row>
    <row r="57" ht="15" customHeight="1">
      <c r="A57" t="inlineStr">
        <is>
          <t>A 18490-2025</t>
        </is>
      </c>
      <c r="B57" t="inlineStr">
        <is>
          <t>avverkningsanmälan</t>
        </is>
      </c>
      <c r="C57" t="inlineStr">
        <is>
          <t>Föryngringsavverkning</t>
        </is>
      </c>
      <c r="D57" s="1" t="n">
        <v>45763</v>
      </c>
      <c r="E57" s="1" t="n">
        <v>46216</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s="2" t="inlineStr"/>
    </row>
    <row r="58" ht="15" customHeight="1">
      <c r="A58" t="inlineStr">
        <is>
          <t>A 18548-2024</t>
        </is>
      </c>
      <c r="B58" t="inlineStr">
        <is>
          <t>avverkningsanmälan</t>
        </is>
      </c>
      <c r="C58" t="inlineStr">
        <is>
          <t>Föryngringsavverkning</t>
        </is>
      </c>
      <c r="D58" s="1" t="n">
        <v>45425</v>
      </c>
      <c r="E58" s="1" t="n">
        <v>46216</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s="2" t="inlineStr"/>
    </row>
    <row r="59" ht="15" customHeight="1">
      <c r="A59" t="inlineStr">
        <is>
          <t>A 20839-2024</t>
        </is>
      </c>
      <c r="B59" t="inlineStr">
        <is>
          <t>avverkningsanmälan</t>
        </is>
      </c>
      <c r="C59" t="inlineStr">
        <is>
          <t>Föryngringsavverkning</t>
        </is>
      </c>
      <c r="D59" s="1" t="n">
        <v>45439</v>
      </c>
      <c r="E59" s="1" t="n">
        <v>46216</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s="2" t="inlineStr"/>
    </row>
    <row r="60" ht="15" customHeight="1">
      <c r="A60" t="inlineStr">
        <is>
          <t>A 12787-2026</t>
        </is>
      </c>
      <c r="B60" t="inlineStr">
        <is>
          <t>avverkningsanmälan</t>
        </is>
      </c>
      <c r="C60" t="inlineStr">
        <is>
          <t>Föryngringsavverkning</t>
        </is>
      </c>
      <c r="D60" s="1" t="n">
        <v>46091</v>
      </c>
      <c r="E60" s="1" t="n">
        <v>46216</v>
      </c>
      <c r="F60" t="inlineStr">
        <is>
          <t>STOCKHOLMS LÄN</t>
        </is>
      </c>
      <c r="G60" t="inlineStr">
        <is>
          <t>HANINGE</t>
        </is>
      </c>
      <c r="I60" t="n">
        <v>4</v>
      </c>
      <c r="J60" t="n">
        <v>0</v>
      </c>
      <c r="K60" t="n">
        <v>0</v>
      </c>
      <c r="L60" t="n">
        <v>0</v>
      </c>
      <c r="M60" t="n">
        <v>0</v>
      </c>
      <c r="N60" t="n">
        <v>0</v>
      </c>
      <c r="O60" t="n">
        <v>0</v>
      </c>
      <c r="P60" t="n">
        <v>0</v>
      </c>
      <c r="Q60" t="n">
        <v>0</v>
      </c>
      <c r="R60" t="n">
        <v>0</v>
      </c>
      <c r="S60" t="n">
        <v>0</v>
      </c>
      <c r="T60" t="n">
        <v>0</v>
      </c>
      <c r="U60" s="2" t="inlineStr"/>
    </row>
    <row r="61" ht="15" customHeight="1">
      <c r="A61" t="inlineStr">
        <is>
          <t>A 5474-2024</t>
        </is>
      </c>
      <c r="B61" t="inlineStr">
        <is>
          <t>avverkningsanmälan</t>
        </is>
      </c>
      <c r="C61" t="inlineStr">
        <is>
          <t>Föryngringsavverkning</t>
        </is>
      </c>
      <c r="D61" s="1" t="n">
        <v>45333</v>
      </c>
      <c r="E61" s="1" t="n">
        <v>46216</v>
      </c>
      <c r="F61" t="inlineStr">
        <is>
          <t>STOCKHOLMS LÄN</t>
        </is>
      </c>
      <c r="G61" t="inlineStr">
        <is>
          <t>HANINGE</t>
        </is>
      </c>
      <c r="H61" t="inlineStr">
        <is>
          <t>Kommuner</t>
        </is>
      </c>
      <c r="I61" t="n">
        <v>0.9</v>
      </c>
      <c r="J61" t="n">
        <v>0</v>
      </c>
      <c r="K61" t="n">
        <v>0</v>
      </c>
      <c r="L61" t="n">
        <v>0</v>
      </c>
      <c r="M61" t="n">
        <v>0</v>
      </c>
      <c r="N61" t="n">
        <v>0</v>
      </c>
      <c r="O61" t="n">
        <v>0</v>
      </c>
      <c r="P61" t="n">
        <v>0</v>
      </c>
      <c r="Q61" t="n">
        <v>0</v>
      </c>
      <c r="R61" t="n">
        <v>0</v>
      </c>
      <c r="S61" t="n">
        <v>0</v>
      </c>
      <c r="T61" t="n">
        <v>0</v>
      </c>
      <c r="U61" s="2" t="inlineStr"/>
    </row>
    <row r="62" ht="15" customHeight="1">
      <c r="A62" t="inlineStr">
        <is>
          <t>A 23666-2024</t>
        </is>
      </c>
      <c r="B62" t="inlineStr">
        <is>
          <t>avverkningsanmälan</t>
        </is>
      </c>
      <c r="C62" t="inlineStr">
        <is>
          <t>Föryngringsavverkning</t>
        </is>
      </c>
      <c r="D62" s="1" t="n">
        <v>45454</v>
      </c>
      <c r="E62" s="1" t="n">
        <v>46216</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s="2" t="inlineStr"/>
    </row>
    <row r="63" ht="15" customHeight="1">
      <c r="A63" t="inlineStr">
        <is>
          <t>A 68896-2021</t>
        </is>
      </c>
      <c r="B63" t="inlineStr">
        <is>
          <t>avverkningsanmälan</t>
        </is>
      </c>
      <c r="C63" t="inlineStr">
        <is>
          <t>Föryngringsavverkning</t>
        </is>
      </c>
      <c r="D63" s="1" t="n">
        <v>44526</v>
      </c>
      <c r="E63" s="1" t="n">
        <v>46216</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s="2" t="inlineStr"/>
    </row>
    <row r="64" ht="15" customHeight="1">
      <c r="A64" t="inlineStr">
        <is>
          <t>A 24800-2026</t>
        </is>
      </c>
      <c r="B64" t="inlineStr">
        <is>
          <t>avverkningsanmälan</t>
        </is>
      </c>
      <c r="C64" t="inlineStr">
        <is>
          <t>Föryngringsavverkning</t>
        </is>
      </c>
      <c r="D64" s="1" t="n">
        <v>46171</v>
      </c>
      <c r="E64" s="1" t="n">
        <v>46216</v>
      </c>
      <c r="F64" t="inlineStr">
        <is>
          <t>STOCKHOLMS LÄN</t>
        </is>
      </c>
      <c r="G64" t="inlineStr">
        <is>
          <t>HANINGE</t>
        </is>
      </c>
      <c r="I64" t="n">
        <v>0.4</v>
      </c>
      <c r="J64" t="n">
        <v>0</v>
      </c>
      <c r="K64" t="n">
        <v>0</v>
      </c>
      <c r="L64" t="n">
        <v>0</v>
      </c>
      <c r="M64" t="n">
        <v>0</v>
      </c>
      <c r="N64" t="n">
        <v>0</v>
      </c>
      <c r="O64" t="n">
        <v>0</v>
      </c>
      <c r="P64" t="n">
        <v>0</v>
      </c>
      <c r="Q64" t="n">
        <v>0</v>
      </c>
      <c r="R64" t="n">
        <v>0</v>
      </c>
      <c r="S64" t="n">
        <v>0</v>
      </c>
      <c r="T64" t="n">
        <v>0</v>
      </c>
      <c r="U64" s="2" t="inlineStr"/>
    </row>
    <row r="65" ht="15" customHeight="1">
      <c r="A65" t="inlineStr">
        <is>
          <t>A 33792-2023</t>
        </is>
      </c>
      <c r="B65" t="inlineStr">
        <is>
          <t>avverkningsanmälan</t>
        </is>
      </c>
      <c r="C65" t="inlineStr">
        <is>
          <t>Föryngringsavverkning</t>
        </is>
      </c>
      <c r="D65" s="1" t="n">
        <v>45121</v>
      </c>
      <c r="E65" s="1" t="n">
        <v>46216</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s="2" t="inlineStr"/>
    </row>
    <row r="66" ht="15" customHeight="1">
      <c r="A66" t="inlineStr">
        <is>
          <t>A 14900-2025</t>
        </is>
      </c>
      <c r="B66" t="inlineStr">
        <is>
          <t>avverkningsanmälan</t>
        </is>
      </c>
      <c r="C66" t="inlineStr">
        <is>
          <t>Föryngringsavverkning</t>
        </is>
      </c>
      <c r="D66" s="1" t="n">
        <v>45743</v>
      </c>
      <c r="E66" s="1" t="n">
        <v>46216</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s="2" t="inlineStr"/>
    </row>
    <row r="67" ht="15" customHeight="1">
      <c r="A67" t="inlineStr">
        <is>
          <t>A 20527-2025</t>
        </is>
      </c>
      <c r="B67" t="inlineStr">
        <is>
          <t>avverkningsanmälan</t>
        </is>
      </c>
      <c r="C67" t="inlineStr">
        <is>
          <t>Föryngringsavverkning</t>
        </is>
      </c>
      <c r="D67" s="1" t="n">
        <v>45775</v>
      </c>
      <c r="E67" s="1" t="n">
        <v>46216</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s="2" t="inlineStr"/>
    </row>
    <row r="68" ht="15" customHeight="1">
      <c r="A68" t="inlineStr">
        <is>
          <t>A 64568-2023</t>
        </is>
      </c>
      <c r="B68" t="inlineStr">
        <is>
          <t>avverkningsanmälan</t>
        </is>
      </c>
      <c r="C68" t="inlineStr">
        <is>
          <t>Föryngringsavverkning</t>
        </is>
      </c>
      <c r="D68" s="1" t="n">
        <v>45281</v>
      </c>
      <c r="E68" s="1" t="n">
        <v>46216</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s="2" t="inlineStr"/>
    </row>
    <row r="69" ht="15" customHeight="1">
      <c r="A69" t="inlineStr">
        <is>
          <t>A 1180-2024</t>
        </is>
      </c>
      <c r="B69" t="inlineStr">
        <is>
          <t>avverkningsanmälan</t>
        </is>
      </c>
      <c r="C69" t="inlineStr">
        <is>
          <t>Föryngringsavverkning</t>
        </is>
      </c>
      <c r="D69" s="1" t="n">
        <v>45302</v>
      </c>
      <c r="E69" s="1" t="n">
        <v>46216</v>
      </c>
      <c r="F69" t="inlineStr">
        <is>
          <t>STOCKHOLMS LÄN</t>
        </is>
      </c>
      <c r="G69" t="inlineStr">
        <is>
          <t>HANINGE</t>
        </is>
      </c>
      <c r="I69" t="n">
        <v>2</v>
      </c>
      <c r="J69" t="n">
        <v>0</v>
      </c>
      <c r="K69" t="n">
        <v>0</v>
      </c>
      <c r="L69" t="n">
        <v>0</v>
      </c>
      <c r="M69" t="n">
        <v>0</v>
      </c>
      <c r="N69" t="n">
        <v>0</v>
      </c>
      <c r="O69" t="n">
        <v>0</v>
      </c>
      <c r="P69" t="n">
        <v>0</v>
      </c>
      <c r="Q69" t="n">
        <v>0</v>
      </c>
      <c r="R69" t="n">
        <v>0</v>
      </c>
      <c r="S69" t="n">
        <v>0</v>
      </c>
      <c r="T69" t="n">
        <v>0</v>
      </c>
      <c r="U69" s="2" t="inlineStr"/>
    </row>
    <row r="70" ht="15" customHeight="1">
      <c r="A70" t="inlineStr">
        <is>
          <t>A 24873-2023</t>
        </is>
      </c>
      <c r="B70" t="inlineStr">
        <is>
          <t>avverkningsanmälan</t>
        </is>
      </c>
      <c r="C70" t="inlineStr">
        <is>
          <t>Föryngringsavverkning</t>
        </is>
      </c>
      <c r="D70" s="1" t="n">
        <v>45085</v>
      </c>
      <c r="E70" s="1" t="n">
        <v>46216</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s="2" t="inlineStr"/>
    </row>
    <row r="71" ht="15" customHeight="1">
      <c r="A71" t="inlineStr">
        <is>
          <t>A 32948-2025</t>
        </is>
      </c>
      <c r="B71" t="inlineStr">
        <is>
          <t>avverkningsanmälan</t>
        </is>
      </c>
      <c r="C71" t="inlineStr">
        <is>
          <t>Föryngringsavverkning</t>
        </is>
      </c>
      <c r="D71" s="1" t="n">
        <v>45839</v>
      </c>
      <c r="E71" s="1" t="n">
        <v>46216</v>
      </c>
      <c r="F71" t="inlineStr">
        <is>
          <t>STOCKHOLMS LÄN</t>
        </is>
      </c>
      <c r="G71" t="inlineStr">
        <is>
          <t>HANINGE</t>
        </is>
      </c>
      <c r="I71" t="n">
        <v>1.1</v>
      </c>
      <c r="J71" t="n">
        <v>0</v>
      </c>
      <c r="K71" t="n">
        <v>0</v>
      </c>
      <c r="L71" t="n">
        <v>0</v>
      </c>
      <c r="M71" t="n">
        <v>0</v>
      </c>
      <c r="N71" t="n">
        <v>0</v>
      </c>
      <c r="O71" t="n">
        <v>0</v>
      </c>
      <c r="P71" t="n">
        <v>0</v>
      </c>
      <c r="Q71" t="n">
        <v>0</v>
      </c>
      <c r="R71" t="n">
        <v>0</v>
      </c>
      <c r="S71" t="n">
        <v>0</v>
      </c>
      <c r="T71" t="n">
        <v>0</v>
      </c>
      <c r="U71" s="2" t="inlineStr"/>
    </row>
    <row r="72" ht="15" customHeight="1">
      <c r="A72" t="inlineStr">
        <is>
          <t>A 58599-2023</t>
        </is>
      </c>
      <c r="B72" t="inlineStr">
        <is>
          <t>avverkningsanmälan</t>
        </is>
      </c>
      <c r="C72" t="inlineStr">
        <is>
          <t>Föryngringsavverkning</t>
        </is>
      </c>
      <c r="D72" s="1" t="n">
        <v>45251</v>
      </c>
      <c r="E72" s="1" t="n">
        <v>46216</v>
      </c>
      <c r="F72" t="inlineStr">
        <is>
          <t>STOCKHOLMS LÄN</t>
        </is>
      </c>
      <c r="G72" t="inlineStr">
        <is>
          <t>HANINGE</t>
        </is>
      </c>
      <c r="I72" t="n">
        <v>3.2</v>
      </c>
      <c r="J72" t="n">
        <v>0</v>
      </c>
      <c r="K72" t="n">
        <v>0</v>
      </c>
      <c r="L72" t="n">
        <v>0</v>
      </c>
      <c r="M72" t="n">
        <v>0</v>
      </c>
      <c r="N72" t="n">
        <v>0</v>
      </c>
      <c r="O72" t="n">
        <v>0</v>
      </c>
      <c r="P72" t="n">
        <v>0</v>
      </c>
      <c r="Q72" t="n">
        <v>0</v>
      </c>
      <c r="R72" t="n">
        <v>0</v>
      </c>
      <c r="S72" t="n">
        <v>0</v>
      </c>
      <c r="T72" t="n">
        <v>0</v>
      </c>
      <c r="U72" s="2" t="inlineStr"/>
    </row>
    <row r="73" ht="15" customHeight="1">
      <c r="A73" t="inlineStr">
        <is>
          <t>A 52836-2024</t>
        </is>
      </c>
      <c r="B73" t="inlineStr">
        <is>
          <t>avverkningsanmälan</t>
        </is>
      </c>
      <c r="C73" t="inlineStr">
        <is>
          <t>Föryngringsavverkning</t>
        </is>
      </c>
      <c r="D73" s="1" t="n">
        <v>45610</v>
      </c>
      <c r="E73" s="1" t="n">
        <v>46216</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s="2" t="inlineStr"/>
    </row>
    <row r="74" ht="15" customHeight="1">
      <c r="A74" t="inlineStr">
        <is>
          <t>A 48606-2025</t>
        </is>
      </c>
      <c r="B74" t="inlineStr">
        <is>
          <t>avverkningsanmälan</t>
        </is>
      </c>
      <c r="C74" t="inlineStr">
        <is>
          <t>Föryngringsavverkning</t>
        </is>
      </c>
      <c r="D74" s="1" t="n">
        <v>45936</v>
      </c>
      <c r="E74" s="1" t="n">
        <v>46216</v>
      </c>
      <c r="F74" t="inlineStr">
        <is>
          <t>STOCKHOLMS LÄN</t>
        </is>
      </c>
      <c r="G74" t="inlineStr">
        <is>
          <t>HANINGE</t>
        </is>
      </c>
      <c r="I74" t="n">
        <v>6.9</v>
      </c>
      <c r="J74" t="n">
        <v>0</v>
      </c>
      <c r="K74" t="n">
        <v>0</v>
      </c>
      <c r="L74" t="n">
        <v>0</v>
      </c>
      <c r="M74" t="n">
        <v>0</v>
      </c>
      <c r="N74" t="n">
        <v>0</v>
      </c>
      <c r="O74" t="n">
        <v>0</v>
      </c>
      <c r="P74" t="n">
        <v>0</v>
      </c>
      <c r="Q74" t="n">
        <v>0</v>
      </c>
      <c r="R74" t="n">
        <v>0</v>
      </c>
      <c r="S74" t="n">
        <v>0</v>
      </c>
      <c r="T74" t="n">
        <v>0</v>
      </c>
      <c r="U74" s="2" t="inlineStr"/>
    </row>
    <row r="75" ht="15" customHeight="1">
      <c r="A75" t="inlineStr">
        <is>
          <t>A 8078-2024</t>
        </is>
      </c>
      <c r="B75" t="inlineStr">
        <is>
          <t>avverkningsanmälan</t>
        </is>
      </c>
      <c r="C75" t="inlineStr">
        <is>
          <t>Föryngringsavverkning</t>
        </is>
      </c>
      <c r="D75" s="1" t="n">
        <v>45351</v>
      </c>
      <c r="E75" s="1" t="n">
        <v>46216</v>
      </c>
      <c r="F75" t="inlineStr">
        <is>
          <t>STOCKHOLMS LÄN</t>
        </is>
      </c>
      <c r="G75" t="inlineStr">
        <is>
          <t>HANINGE</t>
        </is>
      </c>
      <c r="H75" t="inlineStr">
        <is>
          <t>Kommuner</t>
        </is>
      </c>
      <c r="I75" t="n">
        <v>1.4</v>
      </c>
      <c r="J75" t="n">
        <v>0</v>
      </c>
      <c r="K75" t="n">
        <v>0</v>
      </c>
      <c r="L75" t="n">
        <v>0</v>
      </c>
      <c r="M75" t="n">
        <v>0</v>
      </c>
      <c r="N75" t="n">
        <v>0</v>
      </c>
      <c r="O75" t="n">
        <v>0</v>
      </c>
      <c r="P75" t="n">
        <v>0</v>
      </c>
      <c r="Q75" t="n">
        <v>0</v>
      </c>
      <c r="R75" t="n">
        <v>0</v>
      </c>
      <c r="S75" t="n">
        <v>0</v>
      </c>
      <c r="T75" t="n">
        <v>0</v>
      </c>
      <c r="U75" s="2" t="inlineStr"/>
    </row>
    <row r="76" ht="15" customHeight="1">
      <c r="A76" t="inlineStr">
        <is>
          <t>A 52770-2024</t>
        </is>
      </c>
      <c r="B76" t="inlineStr">
        <is>
          <t>avverkningsanmälan</t>
        </is>
      </c>
      <c r="C76" t="inlineStr">
        <is>
          <t>Föryngringsavverkning</t>
        </is>
      </c>
      <c r="D76" s="1" t="n">
        <v>45610</v>
      </c>
      <c r="E76" s="1" t="n">
        <v>46216</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26886-2026</t>
        </is>
      </c>
      <c r="B77" t="inlineStr">
        <is>
          <t>avverkningsanmälan</t>
        </is>
      </c>
      <c r="C77" t="inlineStr">
        <is>
          <t>Avverkning för annat ändamål</t>
        </is>
      </c>
      <c r="D77" s="1" t="n">
        <v>46185</v>
      </c>
      <c r="E77" s="1" t="n">
        <v>46216</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s="2" t="inlineStr"/>
    </row>
    <row r="78" ht="15" customHeight="1">
      <c r="A78" t="inlineStr">
        <is>
          <t>A 26417-2026</t>
        </is>
      </c>
      <c r="B78" t="inlineStr">
        <is>
          <t>avverkningsanmälan</t>
        </is>
      </c>
      <c r="C78" t="inlineStr">
        <is>
          <t>Föryngringsavverkning</t>
        </is>
      </c>
      <c r="D78" s="1" t="n">
        <v>46183</v>
      </c>
      <c r="E78" s="1" t="n">
        <v>46216</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s="2" t="inlineStr"/>
    </row>
    <row r="79" ht="15" customHeight="1">
      <c r="A79" t="inlineStr">
        <is>
          <t>A 19220-2023</t>
        </is>
      </c>
      <c r="B79" t="inlineStr">
        <is>
          <t>avverkningsanmälan</t>
        </is>
      </c>
      <c r="C79" t="inlineStr">
        <is>
          <t>Föryngringsavverkning</t>
        </is>
      </c>
      <c r="D79" s="1" t="n">
        <v>45048</v>
      </c>
      <c r="E79" s="1" t="n">
        <v>46216</v>
      </c>
      <c r="F79" t="inlineStr">
        <is>
          <t>STOCKHOLMS LÄN</t>
        </is>
      </c>
      <c r="G79" t="inlineStr">
        <is>
          <t>HANINGE</t>
        </is>
      </c>
      <c r="I79" t="n">
        <v>1.4</v>
      </c>
      <c r="J79" t="n">
        <v>0</v>
      </c>
      <c r="K79" t="n">
        <v>0</v>
      </c>
      <c r="L79" t="n">
        <v>0</v>
      </c>
      <c r="M79" t="n">
        <v>0</v>
      </c>
      <c r="N79" t="n">
        <v>0</v>
      </c>
      <c r="O79" t="n">
        <v>0</v>
      </c>
      <c r="P79" t="n">
        <v>0</v>
      </c>
      <c r="Q79" t="n">
        <v>0</v>
      </c>
      <c r="R79" t="n">
        <v>0</v>
      </c>
      <c r="S79" t="n">
        <v>0</v>
      </c>
      <c r="T79" t="n">
        <v>0</v>
      </c>
      <c r="U79" s="2" t="inlineStr"/>
    </row>
    <row r="80" ht="15" customHeight="1">
      <c r="A80" t="inlineStr">
        <is>
          <t>A 25584-2023</t>
        </is>
      </c>
      <c r="B80" t="inlineStr">
        <is>
          <t>avverkningsanmälan</t>
        </is>
      </c>
      <c r="C80" t="inlineStr">
        <is>
          <t>Föryngringsavverkning</t>
        </is>
      </c>
      <c r="D80" s="1" t="n">
        <v>45089</v>
      </c>
      <c r="E80" s="1" t="n">
        <v>46216</v>
      </c>
      <c r="F80" t="inlineStr">
        <is>
          <t>STOCKHOLMS LÄN</t>
        </is>
      </c>
      <c r="G80" t="inlineStr">
        <is>
          <t>HANINGE</t>
        </is>
      </c>
      <c r="I80" t="n">
        <v>4.8</v>
      </c>
      <c r="J80" t="n">
        <v>0</v>
      </c>
      <c r="K80" t="n">
        <v>0</v>
      </c>
      <c r="L80" t="n">
        <v>0</v>
      </c>
      <c r="M80" t="n">
        <v>0</v>
      </c>
      <c r="N80" t="n">
        <v>0</v>
      </c>
      <c r="O80" t="n">
        <v>0</v>
      </c>
      <c r="P80" t="n">
        <v>0</v>
      </c>
      <c r="Q80" t="n">
        <v>0</v>
      </c>
      <c r="R80" t="n">
        <v>0</v>
      </c>
      <c r="S80" t="n">
        <v>0</v>
      </c>
      <c r="T80" t="n">
        <v>0</v>
      </c>
      <c r="U80" s="2" t="inlineStr"/>
    </row>
    <row r="81" ht="15" customHeight="1">
      <c r="A81" t="inlineStr">
        <is>
          <t>A 3156-2025</t>
        </is>
      </c>
      <c r="B81" t="inlineStr">
        <is>
          <t>avverkningsanmälan</t>
        </is>
      </c>
      <c r="C81" t="inlineStr">
        <is>
          <t>Föryngringsavverkning</t>
        </is>
      </c>
      <c r="D81" s="1" t="n">
        <v>45679</v>
      </c>
      <c r="E81" s="1" t="n">
        <v>46216</v>
      </c>
      <c r="F81" t="inlineStr">
        <is>
          <t>STOCKHOLMS LÄN</t>
        </is>
      </c>
      <c r="G81" t="inlineStr">
        <is>
          <t>HANINGE</t>
        </is>
      </c>
      <c r="I81" t="n">
        <v>3.3</v>
      </c>
      <c r="J81" t="n">
        <v>0</v>
      </c>
      <c r="K81" t="n">
        <v>0</v>
      </c>
      <c r="L81" t="n">
        <v>0</v>
      </c>
      <c r="M81" t="n">
        <v>0</v>
      </c>
      <c r="N81" t="n">
        <v>0</v>
      </c>
      <c r="O81" t="n">
        <v>0</v>
      </c>
      <c r="P81" t="n">
        <v>0</v>
      </c>
      <c r="Q81" t="n">
        <v>0</v>
      </c>
      <c r="R81" t="n">
        <v>0</v>
      </c>
      <c r="S81" t="n">
        <v>0</v>
      </c>
      <c r="T81" t="n">
        <v>0</v>
      </c>
      <c r="U81" s="2" t="inlineStr"/>
    </row>
    <row r="82" ht="15" customHeight="1">
      <c r="A82" t="inlineStr">
        <is>
          <t>A 17765-2024</t>
        </is>
      </c>
      <c r="B82" t="inlineStr">
        <is>
          <t>avverkningsanmälan</t>
        </is>
      </c>
      <c r="C82" t="inlineStr">
        <is>
          <t>Föryngringsavverkning</t>
        </is>
      </c>
      <c r="D82" s="1" t="n">
        <v>45418</v>
      </c>
      <c r="E82" s="1" t="n">
        <v>46216</v>
      </c>
      <c r="F82" t="inlineStr">
        <is>
          <t>STOCKHOLMS LÄN</t>
        </is>
      </c>
      <c r="G82" t="inlineStr">
        <is>
          <t>HANINGE</t>
        </is>
      </c>
      <c r="I82" t="n">
        <v>1.3</v>
      </c>
      <c r="J82" t="n">
        <v>0</v>
      </c>
      <c r="K82" t="n">
        <v>0</v>
      </c>
      <c r="L82" t="n">
        <v>0</v>
      </c>
      <c r="M82" t="n">
        <v>0</v>
      </c>
      <c r="N82" t="n">
        <v>0</v>
      </c>
      <c r="O82" t="n">
        <v>0</v>
      </c>
      <c r="P82" t="n">
        <v>0</v>
      </c>
      <c r="Q82" t="n">
        <v>0</v>
      </c>
      <c r="R82" t="n">
        <v>0</v>
      </c>
      <c r="S82" t="n">
        <v>0</v>
      </c>
      <c r="T82" t="n">
        <v>0</v>
      </c>
      <c r="U82" s="2" t="inlineStr"/>
    </row>
    <row r="83" ht="15" customHeight="1">
      <c r="A83" t="inlineStr">
        <is>
          <t>A 68894-2021</t>
        </is>
      </c>
      <c r="B83" t="inlineStr">
        <is>
          <t>avverkningsanmälan</t>
        </is>
      </c>
      <c r="C83" t="inlineStr">
        <is>
          <t>Föryngringsavverkning</t>
        </is>
      </c>
      <c r="D83" s="1" t="n">
        <v>44526</v>
      </c>
      <c r="E83" s="1" t="n">
        <v>46216</v>
      </c>
      <c r="F83" t="inlineStr">
        <is>
          <t>STOCKHOLMS LÄN</t>
        </is>
      </c>
      <c r="G83" t="inlineStr">
        <is>
          <t>HANINGE</t>
        </is>
      </c>
      <c r="I83" t="n">
        <v>1.2</v>
      </c>
      <c r="J83" t="n">
        <v>0</v>
      </c>
      <c r="K83" t="n">
        <v>0</v>
      </c>
      <c r="L83" t="n">
        <v>0</v>
      </c>
      <c r="M83" t="n">
        <v>0</v>
      </c>
      <c r="N83" t="n">
        <v>0</v>
      </c>
      <c r="O83" t="n">
        <v>0</v>
      </c>
      <c r="P83" t="n">
        <v>0</v>
      </c>
      <c r="Q83" t="n">
        <v>0</v>
      </c>
      <c r="R83" t="n">
        <v>0</v>
      </c>
      <c r="S83" t="n">
        <v>0</v>
      </c>
      <c r="T83" t="n">
        <v>0</v>
      </c>
      <c r="U83" s="2" t="inlineStr"/>
    </row>
    <row r="84" ht="15" customHeight="1">
      <c r="A84" t="inlineStr">
        <is>
          <t>A 18491-2025</t>
        </is>
      </c>
      <c r="B84" t="inlineStr">
        <is>
          <t>avverkningsanmälan</t>
        </is>
      </c>
      <c r="C84" t="inlineStr">
        <is>
          <t>Föryngringsavverkning</t>
        </is>
      </c>
      <c r="D84" s="1" t="n">
        <v>45763</v>
      </c>
      <c r="E84" s="1" t="n">
        <v>46216</v>
      </c>
      <c r="F84" t="inlineStr">
        <is>
          <t>STOCKHOLMS LÄN</t>
        </is>
      </c>
      <c r="G84" t="inlineStr">
        <is>
          <t>HANINGE</t>
        </is>
      </c>
      <c r="I84" t="n">
        <v>0.5</v>
      </c>
      <c r="J84" t="n">
        <v>0</v>
      </c>
      <c r="K84" t="n">
        <v>0</v>
      </c>
      <c r="L84" t="n">
        <v>0</v>
      </c>
      <c r="M84" t="n">
        <v>0</v>
      </c>
      <c r="N84" t="n">
        <v>0</v>
      </c>
      <c r="O84" t="n">
        <v>0</v>
      </c>
      <c r="P84" t="n">
        <v>0</v>
      </c>
      <c r="Q84" t="n">
        <v>0</v>
      </c>
      <c r="R84" t="n">
        <v>0</v>
      </c>
      <c r="S84" t="n">
        <v>0</v>
      </c>
      <c r="T84" t="n">
        <v>0</v>
      </c>
      <c r="U84" s="2" t="inlineStr"/>
    </row>
    <row r="85" ht="15" customHeight="1">
      <c r="A85" t="inlineStr">
        <is>
          <t>A 24193-2025</t>
        </is>
      </c>
      <c r="B85" t="inlineStr">
        <is>
          <t>avverkningsanmälan</t>
        </is>
      </c>
      <c r="C85" t="inlineStr">
        <is>
          <t>Föryngringsavverkning</t>
        </is>
      </c>
      <c r="D85" s="1" t="n">
        <v>45796</v>
      </c>
      <c r="E85" s="1" t="n">
        <v>46216</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s="2" t="inlineStr"/>
    </row>
    <row r="86" ht="15" customHeight="1">
      <c r="A86" t="inlineStr">
        <is>
          <t>A 64075-2023</t>
        </is>
      </c>
      <c r="B86" t="inlineStr">
        <is>
          <t>avverkningsanmälan</t>
        </is>
      </c>
      <c r="C86" t="inlineStr">
        <is>
          <t>Föryngringsavverkning</t>
        </is>
      </c>
      <c r="D86" s="1" t="n">
        <v>45279</v>
      </c>
      <c r="E86" s="1" t="n">
        <v>46216</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46216</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2026-07-13T14:53:34Z</dcterms:created>
  <dcterms:modified xmlns:dcterms="http://purl.org/dc/terms/" xmlns:xsi="http://www.w3.org/2001/XMLSchema-instance" xsi:type="dcterms:W3CDTF">2026-07-13T14:53:35Z</dcterms:modified>
</cp:coreProperties>
</file>