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46231</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46231</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46231</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46231</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59566-2025</t>
        </is>
      </c>
      <c r="B9" t="inlineStr">
        <is>
          <t>avverkningsanmälan</t>
        </is>
      </c>
      <c r="C9" t="inlineStr">
        <is>
          <t>Föryngringsavverkning</t>
        </is>
      </c>
      <c r="D9" s="1" t="n">
        <v>45991</v>
      </c>
      <c r="E9" s="1" t="n">
        <v>46231</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46231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46231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46231</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46231</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46231</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46231</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46231</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46231</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46231</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46231</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46231</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28861-2026</t>
        </is>
      </c>
      <c r="B29" t="inlineStr">
        <is>
          <t>avverkningsanmälan</t>
        </is>
      </c>
      <c r="C29" t="inlineStr">
        <is>
          <t>Avverkning för annat ändamål</t>
        </is>
      </c>
      <c r="D29" s="1" t="n">
        <v>46199</v>
      </c>
      <c r="E29" s="1" t="n">
        <v>46231</v>
      </c>
      <c r="F29" t="inlineStr">
        <is>
          <t>STOCKHOLMS LÄN</t>
        </is>
      </c>
      <c r="G29" t="inlineStr">
        <is>
          <t>HANINGE</t>
        </is>
      </c>
      <c r="I29" t="n">
        <v>1.3</v>
      </c>
      <c r="J29" t="n">
        <v>0</v>
      </c>
      <c r="K29" t="n">
        <v>0</v>
      </c>
      <c r="L29" t="n">
        <v>1</v>
      </c>
      <c r="M29" t="n">
        <v>0</v>
      </c>
      <c r="N29" t="n">
        <v>0</v>
      </c>
      <c r="O29" t="n">
        <v>0</v>
      </c>
      <c r="P29" t="n">
        <v>0</v>
      </c>
      <c r="Q29" t="n">
        <v>1</v>
      </c>
      <c r="R29" t="n">
        <v>0</v>
      </c>
      <c r="S29" t="n">
        <v>1</v>
      </c>
      <c r="T29" t="n">
        <v>1</v>
      </c>
      <c r="U29" t="n">
        <v>0</v>
      </c>
      <c r="V29" s="2" t="inlineStr">
        <is>
          <t>Skogshare</t>
        </is>
      </c>
      <c r="W29">
        <f>HYPERLINK("https://klasma.github.io/Logging_0136/artfynd/A 28861-2026 artfynd.xlsx", "A 28861-2026")</f>
        <v/>
      </c>
      <c r="X29">
        <f>HYPERLINK("https://klasma.github.io/Logging_0136/kartor/A 28861-2026 karta.png", "A 28861-2026")</f>
        <v/>
      </c>
      <c r="Y29">
        <f>HYPERLINK("https://klasma.github.io/Logging_0136/kartor_geotiff/A 28861-2026 georefererad karta.tif", "A 28861-2026")</f>
        <v/>
      </c>
      <c r="AA29">
        <f>HYPERLINK("https://klasma.github.io/Logging_0136/klagomål/A 28861-2026 FSC-klagomål.docx", "A 28861-2026")</f>
        <v/>
      </c>
      <c r="AB29">
        <f>HYPERLINK("https://klasma.github.io/Logging_0136/klagomålsmail/A 28861-2026 FSC-klagomål mail.docx", "A 28861-2026")</f>
        <v/>
      </c>
      <c r="AC29">
        <f>HYPERLINK("https://klasma.github.io/Logging_0136/tillsyn/A 28861-2026 tillsynsbegäran.docx", "A 28861-2026")</f>
        <v/>
      </c>
      <c r="AD29">
        <f>HYPERLINK("https://klasma.github.io/Logging_0136/tillsynsmail/A 28861-2026 tillsynsbegäran mail.docx", "A 28861-2026")</f>
        <v/>
      </c>
    </row>
    <row r="30" ht="15" customHeight="1">
      <c r="A30" t="inlineStr">
        <is>
          <t>A 59570-2025</t>
        </is>
      </c>
      <c r="B30" t="inlineStr">
        <is>
          <t>avverkningsanmälan</t>
        </is>
      </c>
      <c r="C30" t="inlineStr">
        <is>
          <t>Föryngringsavverkning</t>
        </is>
      </c>
      <c r="D30" s="1" t="n">
        <v>45991</v>
      </c>
      <c r="E30" s="1" t="n">
        <v>46231</v>
      </c>
      <c r="F30" t="inlineStr">
        <is>
          <t>STOCKHOLMS LÄN</t>
        </is>
      </c>
      <c r="G30" t="inlineStr">
        <is>
          <t>HANINGE</t>
        </is>
      </c>
      <c r="I30" t="n">
        <v>2.3</v>
      </c>
      <c r="J30" t="n">
        <v>1</v>
      </c>
      <c r="K30" t="n">
        <v>0</v>
      </c>
      <c r="L30" t="n">
        <v>0</v>
      </c>
      <c r="M30" t="n">
        <v>0</v>
      </c>
      <c r="N30" t="n">
        <v>0</v>
      </c>
      <c r="O30" t="n">
        <v>0</v>
      </c>
      <c r="P30" t="n">
        <v>0</v>
      </c>
      <c r="Q30" t="n">
        <v>0</v>
      </c>
      <c r="R30" t="n">
        <v>0</v>
      </c>
      <c r="S30" t="n">
        <v>1</v>
      </c>
      <c r="T30" t="n">
        <v>1</v>
      </c>
      <c r="U30" t="n">
        <v>0</v>
      </c>
      <c r="V30" s="2" t="inlineStr">
        <is>
          <t>Fjällvråk</t>
        </is>
      </c>
      <c r="W30">
        <f>HYPERLINK("https://klasma.github.io/Logging_0136/artfynd/A 59570-2025 artfynd.xlsx", "A 59570-2025")</f>
        <v/>
      </c>
      <c r="X30">
        <f>HYPERLINK("https://klasma.github.io/Logging_0136/kartor/A 59570-2025 karta.png", "A 59570-2025")</f>
        <v/>
      </c>
      <c r="Y30">
        <f>HYPERLINK("https://klasma.github.io/Logging_0136/kartor_geotiff/A 59570-2025 georefererad karta.tif", "A 59570-2025")</f>
        <v/>
      </c>
      <c r="AA30">
        <f>HYPERLINK("https://klasma.github.io/Logging_0136/klagomål/A 59570-2025 FSC-klagomål.docx", "A 59570-2025")</f>
        <v/>
      </c>
      <c r="AB30">
        <f>HYPERLINK("https://klasma.github.io/Logging_0136/klagomålsmail/A 59570-2025 FSC-klagomål mail.docx", "A 59570-2025")</f>
        <v/>
      </c>
      <c r="AC30">
        <f>HYPERLINK("https://klasma.github.io/Logging_0136/tillsyn/A 59570-2025 tillsynsbegäran.docx", "A 59570-2025")</f>
        <v/>
      </c>
      <c r="AD30">
        <f>HYPERLINK("https://klasma.github.io/Logging_0136/tillsynsmail/A 59570-2025 tillsynsbegäran mail.docx", "A 59570-2025")</f>
        <v/>
      </c>
      <c r="AE30">
        <f>HYPERLINK("https://klasma.github.io/Logging_0136/fåglar/A 59570-2025 prioriterade fågelarter.docx", "A 59570-2025")</f>
        <v/>
      </c>
    </row>
    <row r="31" ht="15" customHeight="1">
      <c r="A31" t="inlineStr">
        <is>
          <t>A 41259-2022</t>
        </is>
      </c>
      <c r="B31" t="inlineStr">
        <is>
          <t>avverkningsanmälan</t>
        </is>
      </c>
      <c r="C31" t="inlineStr">
        <is>
          <t>Föryngringsavverkning</t>
        </is>
      </c>
      <c r="D31" s="1" t="n">
        <v>44825</v>
      </c>
      <c r="E31" s="1" t="n">
        <v>46231</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46231</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46231</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46231</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46231</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46231</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46231</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46231</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46231</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46231</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46231</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46231</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46231</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46231</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46231</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18491-2025</t>
        </is>
      </c>
      <c r="B46" t="inlineStr">
        <is>
          <t>avverkningsanmälan</t>
        </is>
      </c>
      <c r="C46" t="inlineStr">
        <is>
          <t>Föryngringsavverkning</t>
        </is>
      </c>
      <c r="D46" s="1" t="n">
        <v>45763</v>
      </c>
      <c r="E46" s="1" t="n">
        <v>46231</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46231</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46231</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46231</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14264-2025</t>
        </is>
      </c>
      <c r="B50" t="inlineStr">
        <is>
          <t>avverkningsanmälan</t>
        </is>
      </c>
      <c r="C50" t="inlineStr">
        <is>
          <t>Föryngringsavverkning</t>
        </is>
      </c>
      <c r="D50" s="1" t="n">
        <v>45740</v>
      </c>
      <c r="E50" s="1" t="n">
        <v>46231</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58599-2023</t>
        </is>
      </c>
      <c r="B51" t="inlineStr">
        <is>
          <t>avverkningsanmälan</t>
        </is>
      </c>
      <c r="C51" t="inlineStr">
        <is>
          <t>Föryngringsavverkning</t>
        </is>
      </c>
      <c r="D51" s="1" t="n">
        <v>45251</v>
      </c>
      <c r="E51" s="1" t="n">
        <v>46231</v>
      </c>
      <c r="F51" t="inlineStr">
        <is>
          <t>STOCKHOLMS LÄN</t>
        </is>
      </c>
      <c r="G51" t="inlineStr">
        <is>
          <t>HANINGE</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12787-2026</t>
        </is>
      </c>
      <c r="B52" t="inlineStr">
        <is>
          <t>avverkningsanmälan</t>
        </is>
      </c>
      <c r="C52" t="inlineStr">
        <is>
          <t>Föryngringsavverkning</t>
        </is>
      </c>
      <c r="D52" s="1" t="n">
        <v>46091</v>
      </c>
      <c r="E52" s="1" t="n">
        <v>46231</v>
      </c>
      <c r="F52" t="inlineStr">
        <is>
          <t>STOCKHOLMS LÄN</t>
        </is>
      </c>
      <c r="G52" t="inlineStr">
        <is>
          <t>HANINGE</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46231</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38595-2021</t>
        </is>
      </c>
      <c r="B54" t="inlineStr">
        <is>
          <t>avverkningsanmälan</t>
        </is>
      </c>
      <c r="C54" t="inlineStr">
        <is>
          <t>Avverkning för annat ändamål</t>
        </is>
      </c>
      <c r="D54" s="1" t="n">
        <v>44407</v>
      </c>
      <c r="E54" s="1" t="n">
        <v>46231</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48606-2025</t>
        </is>
      </c>
      <c r="B55" t="inlineStr">
        <is>
          <t>avverkningsanmälan</t>
        </is>
      </c>
      <c r="C55" t="inlineStr">
        <is>
          <t>Föryngringsavverkning</t>
        </is>
      </c>
      <c r="D55" s="1" t="n">
        <v>45936</v>
      </c>
      <c r="E55" s="1" t="n">
        <v>46231</v>
      </c>
      <c r="F55" t="inlineStr">
        <is>
          <t>STOCKHOLMS LÄN</t>
        </is>
      </c>
      <c r="G55" t="inlineStr">
        <is>
          <t>HANINGE</t>
        </is>
      </c>
      <c r="I55" t="n">
        <v>6.9</v>
      </c>
      <c r="J55" t="n">
        <v>0</v>
      </c>
      <c r="K55" t="n">
        <v>0</v>
      </c>
      <c r="L55" t="n">
        <v>0</v>
      </c>
      <c r="M55" t="n">
        <v>0</v>
      </c>
      <c r="N55" t="n">
        <v>0</v>
      </c>
      <c r="O55" t="n">
        <v>0</v>
      </c>
      <c r="P55" t="n">
        <v>0</v>
      </c>
      <c r="Q55" t="n">
        <v>0</v>
      </c>
      <c r="R55" t="n">
        <v>0</v>
      </c>
      <c r="S55" t="n">
        <v>0</v>
      </c>
      <c r="T55" t="n">
        <v>0</v>
      </c>
      <c r="U55" t="n">
        <v>0</v>
      </c>
      <c r="V55" s="2" t="inlineStr"/>
    </row>
    <row r="56" ht="15" customHeight="1">
      <c r="A56" t="inlineStr">
        <is>
          <t>A 50306-2023</t>
        </is>
      </c>
      <c r="B56" t="inlineStr">
        <is>
          <t>avverkningsanmälan</t>
        </is>
      </c>
      <c r="C56" t="inlineStr">
        <is>
          <t>Föryngringsavverkning</t>
        </is>
      </c>
      <c r="D56" s="1" t="n">
        <v>45209</v>
      </c>
      <c r="E56" s="1" t="n">
        <v>46231</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c r="Z56">
        <f>HYPERLINK("https://klasma.github.io/Logging_0136/knärot/A 50306-2023 karta knärot.png", "A 50306-2023")</f>
        <v/>
      </c>
      <c r="AA56">
        <f>HYPERLINK("https://klasma.github.io/Logging_0136/klagomål/A 50306-2023 FSC-klagomål.docx", "A 50306-2023")</f>
        <v/>
      </c>
      <c r="AB56">
        <f>HYPERLINK("https://klasma.github.io/Logging_0136/klagomålsmail/A 50306-2023 FSC-klagomål mail.docx", "A 50306-2023")</f>
        <v/>
      </c>
      <c r="AC56">
        <f>HYPERLINK("https://klasma.github.io/Logging_0136/tillsyn/A 50306-2023 tillsynsbegäran.docx", "A 50306-2023")</f>
        <v/>
      </c>
      <c r="AD56">
        <f>HYPERLINK("https://klasma.github.io/Logging_0136/tillsynsmail/A 50306-2023 tillsynsbegäran mail.docx", "A 50306-2023")</f>
        <v/>
      </c>
    </row>
    <row r="57" ht="15" customHeight="1">
      <c r="A57" t="inlineStr">
        <is>
          <t>A 22288-2023</t>
        </is>
      </c>
      <c r="B57" t="inlineStr">
        <is>
          <t>avverkningsanmälan</t>
        </is>
      </c>
      <c r="C57" t="inlineStr">
        <is>
          <t>Föryngringsavverkning</t>
        </is>
      </c>
      <c r="D57" s="1" t="n">
        <v>45070</v>
      </c>
      <c r="E57" s="1" t="n">
        <v>46231</v>
      </c>
      <c r="F57" t="inlineStr">
        <is>
          <t>STOCKHOLMS LÄN</t>
        </is>
      </c>
      <c r="G57" t="inlineStr">
        <is>
          <t>HANINGE</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33792-2023</t>
        </is>
      </c>
      <c r="B58" t="inlineStr">
        <is>
          <t>avverkningsanmälan</t>
        </is>
      </c>
      <c r="C58" t="inlineStr">
        <is>
          <t>Föryngringsavverkning</t>
        </is>
      </c>
      <c r="D58" s="1" t="n">
        <v>45121</v>
      </c>
      <c r="E58" s="1" t="n">
        <v>46231</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32948-2025</t>
        </is>
      </c>
      <c r="B59" t="inlineStr">
        <is>
          <t>avverkningsanmälan</t>
        </is>
      </c>
      <c r="C59" t="inlineStr">
        <is>
          <t>Föryngringsavverkning</t>
        </is>
      </c>
      <c r="D59" s="1" t="n">
        <v>45839</v>
      </c>
      <c r="E59" s="1" t="n">
        <v>46231</v>
      </c>
      <c r="F59" t="inlineStr">
        <is>
          <t>STOCKHOLMS LÄN</t>
        </is>
      </c>
      <c r="G59" t="inlineStr">
        <is>
          <t>HANINGE</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20839-2024</t>
        </is>
      </c>
      <c r="B60" t="inlineStr">
        <is>
          <t>avverkningsanmälan</t>
        </is>
      </c>
      <c r="C60" t="inlineStr">
        <is>
          <t>Föryngringsavverkning</t>
        </is>
      </c>
      <c r="D60" s="1" t="n">
        <v>45439</v>
      </c>
      <c r="E60" s="1" t="n">
        <v>46231</v>
      </c>
      <c r="F60" t="inlineStr">
        <is>
          <t>STOCKHOLMS LÄN</t>
        </is>
      </c>
      <c r="G60" t="inlineStr">
        <is>
          <t>HANINGE</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52770-2024</t>
        </is>
      </c>
      <c r="B61" t="inlineStr">
        <is>
          <t>avverkningsanmälan</t>
        </is>
      </c>
      <c r="C61" t="inlineStr">
        <is>
          <t>Föryngringsavverkning</t>
        </is>
      </c>
      <c r="D61" s="1" t="n">
        <v>45610</v>
      </c>
      <c r="E61" s="1" t="n">
        <v>46231</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18512-2024</t>
        </is>
      </c>
      <c r="B62" t="inlineStr">
        <is>
          <t>avverkningsanmälan</t>
        </is>
      </c>
      <c r="C62" t="inlineStr">
        <is>
          <t>Föryngringsavverkning</t>
        </is>
      </c>
      <c r="D62" s="1" t="n">
        <v>45425</v>
      </c>
      <c r="E62" s="1" t="n">
        <v>46231</v>
      </c>
      <c r="F62" t="inlineStr">
        <is>
          <t>STOCKHOLMS LÄN</t>
        </is>
      </c>
      <c r="G62" t="inlineStr">
        <is>
          <t>HANINGE</t>
        </is>
      </c>
      <c r="H62" t="inlineStr">
        <is>
          <t>Kommuner</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4297-2024</t>
        </is>
      </c>
      <c r="B63" t="inlineStr">
        <is>
          <t>avverkningsanmälan</t>
        </is>
      </c>
      <c r="C63" t="inlineStr">
        <is>
          <t>Föryngringsavverkning</t>
        </is>
      </c>
      <c r="D63" s="1" t="n">
        <v>45324</v>
      </c>
      <c r="E63" s="1" t="n">
        <v>46231</v>
      </c>
      <c r="F63" t="inlineStr">
        <is>
          <t>STOCKHOLMS LÄN</t>
        </is>
      </c>
      <c r="G63" t="inlineStr">
        <is>
          <t>HANINGE</t>
        </is>
      </c>
      <c r="H63" t="inlineStr">
        <is>
          <t>Kommuner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17765-2024</t>
        </is>
      </c>
      <c r="B64" t="inlineStr">
        <is>
          <t>avverkningsanmälan</t>
        </is>
      </c>
      <c r="C64" t="inlineStr">
        <is>
          <t>Föryngringsavverkning</t>
        </is>
      </c>
      <c r="D64" s="1" t="n">
        <v>45418</v>
      </c>
      <c r="E64" s="1" t="n">
        <v>46231</v>
      </c>
      <c r="F64" t="inlineStr">
        <is>
          <t>STOCKHOLMS LÄN</t>
        </is>
      </c>
      <c r="G64" t="inlineStr">
        <is>
          <t>HANINGE</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25584-2023</t>
        </is>
      </c>
      <c r="B65" t="inlineStr">
        <is>
          <t>avverkningsanmälan</t>
        </is>
      </c>
      <c r="C65" t="inlineStr">
        <is>
          <t>Föryngringsavverkning</t>
        </is>
      </c>
      <c r="D65" s="1" t="n">
        <v>45089</v>
      </c>
      <c r="E65" s="1" t="n">
        <v>46231</v>
      </c>
      <c r="F65" t="inlineStr">
        <is>
          <t>STOCKHOLMS LÄN</t>
        </is>
      </c>
      <c r="G65" t="inlineStr">
        <is>
          <t>HANINGE</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24800-2026</t>
        </is>
      </c>
      <c r="B66" t="inlineStr">
        <is>
          <t>avverkningsanmälan</t>
        </is>
      </c>
      <c r="C66" t="inlineStr">
        <is>
          <t>Föryngringsavverkning</t>
        </is>
      </c>
      <c r="D66" s="1" t="n">
        <v>46171</v>
      </c>
      <c r="E66" s="1" t="n">
        <v>46231</v>
      </c>
      <c r="F66" t="inlineStr">
        <is>
          <t>STOCKHOLMS LÄN</t>
        </is>
      </c>
      <c r="G66" t="inlineStr">
        <is>
          <t>HANINGE</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20527-2025</t>
        </is>
      </c>
      <c r="B67" t="inlineStr">
        <is>
          <t>avverkningsanmälan</t>
        </is>
      </c>
      <c r="C67" t="inlineStr">
        <is>
          <t>Föryngringsavverkning</t>
        </is>
      </c>
      <c r="D67" s="1" t="n">
        <v>45775</v>
      </c>
      <c r="E67" s="1" t="n">
        <v>46231</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26417-2026</t>
        </is>
      </c>
      <c r="B68" t="inlineStr">
        <is>
          <t>avverkningsanmälan</t>
        </is>
      </c>
      <c r="C68" t="inlineStr">
        <is>
          <t>Föryngringsavverkning</t>
        </is>
      </c>
      <c r="D68" s="1" t="n">
        <v>46183</v>
      </c>
      <c r="E68" s="1" t="n">
        <v>46231</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26886-2026</t>
        </is>
      </c>
      <c r="B69" t="inlineStr">
        <is>
          <t>avverkningsanmälan</t>
        </is>
      </c>
      <c r="C69" t="inlineStr">
        <is>
          <t>Avverkning för annat ändamål</t>
        </is>
      </c>
      <c r="D69" s="1" t="n">
        <v>46185</v>
      </c>
      <c r="E69" s="1" t="n">
        <v>46231</v>
      </c>
      <c r="F69" t="inlineStr">
        <is>
          <t>STOCKHOLMS LÄN</t>
        </is>
      </c>
      <c r="G69" t="inlineStr">
        <is>
          <t>HANINGE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59569-2025</t>
        </is>
      </c>
      <c r="B70" t="inlineStr">
        <is>
          <t>avverkningsanmälan</t>
        </is>
      </c>
      <c r="C70" t="inlineStr">
        <is>
          <t>Föryngringsavverkning</t>
        </is>
      </c>
      <c r="D70" s="1" t="n">
        <v>45991</v>
      </c>
      <c r="E70" s="1" t="n">
        <v>46231</v>
      </c>
      <c r="F70" t="inlineStr">
        <is>
          <t>STOCKHOLMS LÄN</t>
        </is>
      </c>
      <c r="G70" t="inlineStr">
        <is>
          <t>HANINGE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1180-2024</t>
        </is>
      </c>
      <c r="B71" t="inlineStr">
        <is>
          <t>avverkningsanmälan</t>
        </is>
      </c>
      <c r="C71" t="inlineStr">
        <is>
          <t>Föryngringsavverkning</t>
        </is>
      </c>
      <c r="D71" s="1" t="n">
        <v>45302</v>
      </c>
      <c r="E71" s="1" t="n">
        <v>46231</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19220-2023</t>
        </is>
      </c>
      <c r="B72" t="inlineStr">
        <is>
          <t>avverkningsanmälan</t>
        </is>
      </c>
      <c r="C72" t="inlineStr">
        <is>
          <t>Föryngringsavverkning</t>
        </is>
      </c>
      <c r="D72" s="1" t="n">
        <v>45048</v>
      </c>
      <c r="E72" s="1" t="n">
        <v>46231</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18490-2025</t>
        </is>
      </c>
      <c r="B73" t="inlineStr">
        <is>
          <t>avverkningsanmälan</t>
        </is>
      </c>
      <c r="C73" t="inlineStr">
        <is>
          <t>Föryngringsavverkning</t>
        </is>
      </c>
      <c r="D73" s="1" t="n">
        <v>45763</v>
      </c>
      <c r="E73" s="1" t="n">
        <v>46231</v>
      </c>
      <c r="F73" t="inlineStr">
        <is>
          <t>STOCKHOLMS LÄN</t>
        </is>
      </c>
      <c r="G73" t="inlineStr">
        <is>
          <t>HANINGE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64568-2023</t>
        </is>
      </c>
      <c r="B74" t="inlineStr">
        <is>
          <t>avverkningsanmälan</t>
        </is>
      </c>
      <c r="C74" t="inlineStr">
        <is>
          <t>Föryngringsavverkning</t>
        </is>
      </c>
      <c r="D74" s="1" t="n">
        <v>45281</v>
      </c>
      <c r="E74" s="1" t="n">
        <v>46231</v>
      </c>
      <c r="F74" t="inlineStr">
        <is>
          <t>STOCKHOLMS LÄN</t>
        </is>
      </c>
      <c r="G74" t="inlineStr">
        <is>
          <t>HANINGE</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18548-2024</t>
        </is>
      </c>
      <c r="B75" t="inlineStr">
        <is>
          <t>avverkningsanmälan</t>
        </is>
      </c>
      <c r="C75" t="inlineStr">
        <is>
          <t>Föryngringsavverkning</t>
        </is>
      </c>
      <c r="D75" s="1" t="n">
        <v>45425</v>
      </c>
      <c r="E75" s="1" t="n">
        <v>46231</v>
      </c>
      <c r="F75" t="inlineStr">
        <is>
          <t>STOCKHOLMS LÄN</t>
        </is>
      </c>
      <c r="G75" t="inlineStr">
        <is>
          <t>HANINGE</t>
        </is>
      </c>
      <c r="H75" t="inlineStr">
        <is>
          <t>Kommuner</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41809-2021</t>
        </is>
      </c>
      <c r="B76" t="inlineStr">
        <is>
          <t>avverkningsanmälan</t>
        </is>
      </c>
      <c r="C76" t="inlineStr">
        <is>
          <t>Föryngringsavverkning</t>
        </is>
      </c>
      <c r="D76" s="1" t="n">
        <v>44425</v>
      </c>
      <c r="E76" s="1" t="n">
        <v>46231</v>
      </c>
      <c r="F76" t="inlineStr">
        <is>
          <t>STOCKHOLMS LÄN</t>
        </is>
      </c>
      <c r="G76" t="inlineStr">
        <is>
          <t>HANINGE</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68894-2021</t>
        </is>
      </c>
      <c r="B77" t="inlineStr">
        <is>
          <t>avverkningsanmälan</t>
        </is>
      </c>
      <c r="C77" t="inlineStr">
        <is>
          <t>Föryngringsavverkning</t>
        </is>
      </c>
      <c r="D77" s="1" t="n">
        <v>44526</v>
      </c>
      <c r="E77" s="1" t="n">
        <v>46231</v>
      </c>
      <c r="F77" t="inlineStr">
        <is>
          <t>STOCKHOLMS LÄN</t>
        </is>
      </c>
      <c r="G77" t="inlineStr">
        <is>
          <t>HANINGE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13046-2022</t>
        </is>
      </c>
      <c r="B78" t="inlineStr">
        <is>
          <t>avverkningsanmälan</t>
        </is>
      </c>
      <c r="C78" t="inlineStr">
        <is>
          <t>Föryngringsavverkning</t>
        </is>
      </c>
      <c r="D78" s="1" t="n">
        <v>44643</v>
      </c>
      <c r="E78" s="1" t="n">
        <v>46231</v>
      </c>
      <c r="F78" t="inlineStr">
        <is>
          <t>STOCKHOLMS LÄN</t>
        </is>
      </c>
      <c r="G78" t="inlineStr">
        <is>
          <t>HANINGE</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8078-2024</t>
        </is>
      </c>
      <c r="B79" t="inlineStr">
        <is>
          <t>avverkningsanmälan</t>
        </is>
      </c>
      <c r="C79" t="inlineStr">
        <is>
          <t>Föryngringsavverkning</t>
        </is>
      </c>
      <c r="D79" s="1" t="n">
        <v>45351</v>
      </c>
      <c r="E79" s="1" t="n">
        <v>46231</v>
      </c>
      <c r="F79" t="inlineStr">
        <is>
          <t>STOCKHOLMS LÄN</t>
        </is>
      </c>
      <c r="G79" t="inlineStr">
        <is>
          <t>HANINGE</t>
        </is>
      </c>
      <c r="H79" t="inlineStr">
        <is>
          <t>Kommuner</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24873-2023</t>
        </is>
      </c>
      <c r="B80" t="inlineStr">
        <is>
          <t>avverkningsanmälan</t>
        </is>
      </c>
      <c r="C80" t="inlineStr">
        <is>
          <t>Föryngringsavverkning</t>
        </is>
      </c>
      <c r="D80" s="1" t="n">
        <v>45085</v>
      </c>
      <c r="E80" s="1" t="n">
        <v>46231</v>
      </c>
      <c r="F80" t="inlineStr">
        <is>
          <t>STOCKHOLMS LÄN</t>
        </is>
      </c>
      <c r="G80" t="inlineStr">
        <is>
          <t>HANINGE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23666-2024</t>
        </is>
      </c>
      <c r="B81" t="inlineStr">
        <is>
          <t>avverkningsanmälan</t>
        </is>
      </c>
      <c r="C81" t="inlineStr">
        <is>
          <t>Föryngringsavverkning</t>
        </is>
      </c>
      <c r="D81" s="1" t="n">
        <v>45454</v>
      </c>
      <c r="E81" s="1" t="n">
        <v>46231</v>
      </c>
      <c r="F81" t="inlineStr">
        <is>
          <t>STOCKHOLMS LÄN</t>
        </is>
      </c>
      <c r="G81" t="inlineStr">
        <is>
          <t>HANINGE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9946-2024</t>
        </is>
      </c>
      <c r="B82" t="inlineStr">
        <is>
          <t>avverkningsanmälan</t>
        </is>
      </c>
      <c r="C82" t="inlineStr">
        <is>
          <t>Föryngringsavverkning</t>
        </is>
      </c>
      <c r="D82" s="1" t="n">
        <v>45363</v>
      </c>
      <c r="E82" s="1" t="n">
        <v>46231</v>
      </c>
      <c r="F82" t="inlineStr">
        <is>
          <t>STOCKHOLMS LÄN</t>
        </is>
      </c>
      <c r="G82" t="inlineStr">
        <is>
          <t>HANINGE</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52836-2024</t>
        </is>
      </c>
      <c r="B83" t="inlineStr">
        <is>
          <t>avverkningsanmälan</t>
        </is>
      </c>
      <c r="C83" t="inlineStr">
        <is>
          <t>Föryngringsavverkning</t>
        </is>
      </c>
      <c r="D83" s="1" t="n">
        <v>45610</v>
      </c>
      <c r="E83" s="1" t="n">
        <v>46231</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5474-2024</t>
        </is>
      </c>
      <c r="B84" t="inlineStr">
        <is>
          <t>avverkningsanmälan</t>
        </is>
      </c>
      <c r="C84" t="inlineStr">
        <is>
          <t>Föryngringsavverkning</t>
        </is>
      </c>
      <c r="D84" s="1" t="n">
        <v>45333</v>
      </c>
      <c r="E84" s="1" t="n">
        <v>46231</v>
      </c>
      <c r="F84" t="inlineStr">
        <is>
          <t>STOCKHOLMS LÄN</t>
        </is>
      </c>
      <c r="G84" t="inlineStr">
        <is>
          <t>HANINGE</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14900-2025</t>
        </is>
      </c>
      <c r="B85" t="inlineStr">
        <is>
          <t>avverkningsanmälan</t>
        </is>
      </c>
      <c r="C85" t="inlineStr">
        <is>
          <t>Föryngringsavverkning</t>
        </is>
      </c>
      <c r="D85" s="1" t="n">
        <v>45743</v>
      </c>
      <c r="E85" s="1" t="n">
        <v>46231</v>
      </c>
      <c r="F85" t="inlineStr">
        <is>
          <t>STOCKHOLMS LÄN</t>
        </is>
      </c>
      <c r="G85" t="inlineStr">
        <is>
          <t>HANINGE</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24193-2025</t>
        </is>
      </c>
      <c r="B86" t="inlineStr">
        <is>
          <t>avverkningsanmälan</t>
        </is>
      </c>
      <c r="C86" t="inlineStr">
        <is>
          <t>Föryngringsavverkning</t>
        </is>
      </c>
      <c r="D86" s="1" t="n">
        <v>45796</v>
      </c>
      <c r="E86" s="1" t="n">
        <v>46231</v>
      </c>
      <c r="F86" t="inlineStr">
        <is>
          <t>STOCKHOLMS LÄN</t>
        </is>
      </c>
      <c r="G86" t="inlineStr">
        <is>
          <t>HANINGE</t>
        </is>
      </c>
      <c r="I86" t="n">
        <v>0.4</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46231</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2026-07-28T01:46:55Z</dcterms:created>
  <dcterms:modified xmlns:dcterms="http://purl.org/dc/terms/" xmlns:xsi="http://www.w3.org/2001/XMLSchema-instance" xsi:type="dcterms:W3CDTF">2026-07-28T01:46:55Z</dcterms:modified>
</cp:coreProperties>
</file>