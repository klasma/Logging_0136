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45974</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45974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45974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45974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45974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45974</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45974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45974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45974</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45974</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45974</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20507-2025</t>
        </is>
      </c>
      <c r="B13" s="1" t="n">
        <v>45775.59121527777</v>
      </c>
      <c r="C13" s="1" t="n">
        <v>45974</v>
      </c>
      <c r="D13" t="inlineStr">
        <is>
          <t>STOCKHOLMS LÄN</t>
        </is>
      </c>
      <c r="E13" t="inlineStr">
        <is>
          <t>HANINGE</t>
        </is>
      </c>
      <c r="G13" t="n">
        <v>1.2</v>
      </c>
      <c r="H13" t="n">
        <v>1</v>
      </c>
      <c r="I13" t="n">
        <v>1</v>
      </c>
      <c r="J13" t="n">
        <v>0</v>
      </c>
      <c r="K13" t="n">
        <v>0</v>
      </c>
      <c r="L13" t="n">
        <v>0</v>
      </c>
      <c r="M13" t="n">
        <v>0</v>
      </c>
      <c r="N13" t="n">
        <v>0</v>
      </c>
      <c r="O13" t="n">
        <v>0</v>
      </c>
      <c r="P13" t="n">
        <v>0</v>
      </c>
      <c r="Q13" t="n">
        <v>2</v>
      </c>
      <c r="R13" s="2" t="inlineStr">
        <is>
          <t>Brandticka
Revlummer</t>
        </is>
      </c>
      <c r="S13">
        <f>HYPERLINK("https://klasma.github.io/Logging_0136/artfynd/A 20507-2025 artfynd.xlsx", "A 20507-2025")</f>
        <v/>
      </c>
      <c r="T13">
        <f>HYPERLINK("https://klasma.github.io/Logging_0136/kartor/A 20507-2025 karta.png", "A 20507-2025")</f>
        <v/>
      </c>
      <c r="V13">
        <f>HYPERLINK("https://klasma.github.io/Logging_0136/klagomål/A 20507-2025 FSC-klagomål.docx", "A 20507-2025")</f>
        <v/>
      </c>
      <c r="W13">
        <f>HYPERLINK("https://klasma.github.io/Logging_0136/klagomålsmail/A 20507-2025 FSC-klagomål mail.docx", "A 20507-2025")</f>
        <v/>
      </c>
      <c r="X13">
        <f>HYPERLINK("https://klasma.github.io/Logging_0136/tillsyn/A 20507-2025 tillsynsbegäran.docx", "A 20507-2025")</f>
        <v/>
      </c>
      <c r="Y13">
        <f>HYPERLINK("https://klasma.github.io/Logging_0136/tillsynsmail/A 20507-2025 tillsynsbegäran mail.docx", "A 20507-2025")</f>
        <v/>
      </c>
    </row>
    <row r="14" ht="15" customHeight="1">
      <c r="A14" t="inlineStr">
        <is>
          <t>A 14729-2023</t>
        </is>
      </c>
      <c r="B14" s="1" t="n">
        <v>45014</v>
      </c>
      <c r="C14" s="1" t="n">
        <v>45974</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24189-2025</t>
        </is>
      </c>
      <c r="B15" s="1" t="n">
        <v>45796.84584490741</v>
      </c>
      <c r="C15" s="1" t="n">
        <v>45974</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1424-2021</t>
        </is>
      </c>
      <c r="B16" s="1" t="n">
        <v>44208</v>
      </c>
      <c r="C16" s="1" t="n">
        <v>45974</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45974</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45974</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45974</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34823-2022</t>
        </is>
      </c>
      <c r="B20" s="1" t="n">
        <v>44796</v>
      </c>
      <c r="C20" s="1" t="n">
        <v>45974</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45974</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45974</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31780-2021</t>
        </is>
      </c>
      <c r="B23" s="1" t="n">
        <v>44369</v>
      </c>
      <c r="C23" s="1" t="n">
        <v>45974</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45974</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45974</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45974</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45974</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45974</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45974</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45974</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45974</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45974</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45974</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45974</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55861-2021</t>
        </is>
      </c>
      <c r="B35" s="1" t="n">
        <v>44476</v>
      </c>
      <c r="C35" s="1" t="n">
        <v>45974</v>
      </c>
      <c r="D35" t="inlineStr">
        <is>
          <t>STOCKHOLMS LÄN</t>
        </is>
      </c>
      <c r="E35" t="inlineStr">
        <is>
          <t>HANINGE</t>
        </is>
      </c>
      <c r="F35" t="inlineStr">
        <is>
          <t>Kommuner</t>
        </is>
      </c>
      <c r="G35" t="n">
        <v>1.3</v>
      </c>
      <c r="H35" t="n">
        <v>0</v>
      </c>
      <c r="I35" t="n">
        <v>0</v>
      </c>
      <c r="J35" t="n">
        <v>0</v>
      </c>
      <c r="K35" t="n">
        <v>0</v>
      </c>
      <c r="L35" t="n">
        <v>0</v>
      </c>
      <c r="M35" t="n">
        <v>0</v>
      </c>
      <c r="N35" t="n">
        <v>0</v>
      </c>
      <c r="O35" t="n">
        <v>0</v>
      </c>
      <c r="P35" t="n">
        <v>0</v>
      </c>
      <c r="Q35" t="n">
        <v>0</v>
      </c>
      <c r="R35" s="2" t="inlineStr"/>
    </row>
    <row r="36" ht="15" customHeight="1">
      <c r="A36" t="inlineStr">
        <is>
          <t>A 64395-2020</t>
        </is>
      </c>
      <c r="B36" s="1" t="n">
        <v>44168</v>
      </c>
      <c r="C36" s="1" t="n">
        <v>45974</v>
      </c>
      <c r="D36" t="inlineStr">
        <is>
          <t>STOCKHOLMS LÄN</t>
        </is>
      </c>
      <c r="E36" t="inlineStr">
        <is>
          <t>HANINGE</t>
        </is>
      </c>
      <c r="G36" t="n">
        <v>3.9</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45974</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45974</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45395-2021</t>
        </is>
      </c>
      <c r="B39" s="1" t="n">
        <v>44440</v>
      </c>
      <c r="C39" s="1" t="n">
        <v>45974</v>
      </c>
      <c r="D39" t="inlineStr">
        <is>
          <t>STOCKHOLMS LÄN</t>
        </is>
      </c>
      <c r="E39" t="inlineStr">
        <is>
          <t>HANINGE</t>
        </is>
      </c>
      <c r="F39" t="inlineStr">
        <is>
          <t>Övriga statliga verk och myndigheter</t>
        </is>
      </c>
      <c r="G39" t="n">
        <v>3.5</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45974</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45974</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45974</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55853-2021</t>
        </is>
      </c>
      <c r="B43" s="1" t="n">
        <v>44476</v>
      </c>
      <c r="C43" s="1" t="n">
        <v>45974</v>
      </c>
      <c r="D43" t="inlineStr">
        <is>
          <t>STOCKHOLMS LÄN</t>
        </is>
      </c>
      <c r="E43" t="inlineStr">
        <is>
          <t>HANINGE</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45974</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38595-2021</t>
        </is>
      </c>
      <c r="B45" s="1" t="n">
        <v>44407</v>
      </c>
      <c r="C45" s="1" t="n">
        <v>45974</v>
      </c>
      <c r="D45" t="inlineStr">
        <is>
          <t>STOCKHOLMS LÄN</t>
        </is>
      </c>
      <c r="E45" t="inlineStr">
        <is>
          <t>HANINGE</t>
        </is>
      </c>
      <c r="G45" t="n">
        <v>1.1</v>
      </c>
      <c r="H45" t="n">
        <v>0</v>
      </c>
      <c r="I45" t="n">
        <v>0</v>
      </c>
      <c r="J45" t="n">
        <v>0</v>
      </c>
      <c r="K45" t="n">
        <v>0</v>
      </c>
      <c r="L45" t="n">
        <v>0</v>
      </c>
      <c r="M45" t="n">
        <v>0</v>
      </c>
      <c r="N45" t="n">
        <v>0</v>
      </c>
      <c r="O45" t="n">
        <v>0</v>
      </c>
      <c r="P45" t="n">
        <v>0</v>
      </c>
      <c r="Q45" t="n">
        <v>0</v>
      </c>
      <c r="R45" s="2" t="inlineStr"/>
    </row>
    <row r="46" ht="15" customHeight="1">
      <c r="A46" t="inlineStr">
        <is>
          <t>A 8078-2024</t>
        </is>
      </c>
      <c r="B46" s="1" t="n">
        <v>45351.43737268518</v>
      </c>
      <c r="C46" s="1" t="n">
        <v>45974</v>
      </c>
      <c r="D46" t="inlineStr">
        <is>
          <t>STOCKHOLMS LÄN</t>
        </is>
      </c>
      <c r="E46" t="inlineStr">
        <is>
          <t>HANINGE</t>
        </is>
      </c>
      <c r="F46" t="inlineStr">
        <is>
          <t>Kommuner</t>
        </is>
      </c>
      <c r="G46" t="n">
        <v>1.4</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45974</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4297-2024</t>
        </is>
      </c>
      <c r="B48" s="1" t="n">
        <v>45324.62291666667</v>
      </c>
      <c r="C48" s="1" t="n">
        <v>45974</v>
      </c>
      <c r="D48" t="inlineStr">
        <is>
          <t>STOCKHOLMS LÄN</t>
        </is>
      </c>
      <c r="E48" t="inlineStr">
        <is>
          <t>HANINGE</t>
        </is>
      </c>
      <c r="F48" t="inlineStr">
        <is>
          <t>Kommuner</t>
        </is>
      </c>
      <c r="G48" t="n">
        <v>0.4</v>
      </c>
      <c r="H48" t="n">
        <v>0</v>
      </c>
      <c r="I48" t="n">
        <v>0</v>
      </c>
      <c r="J48" t="n">
        <v>0</v>
      </c>
      <c r="K48" t="n">
        <v>0</v>
      </c>
      <c r="L48" t="n">
        <v>0</v>
      </c>
      <c r="M48" t="n">
        <v>0</v>
      </c>
      <c r="N48" t="n">
        <v>0</v>
      </c>
      <c r="O48" t="n">
        <v>0</v>
      </c>
      <c r="P48" t="n">
        <v>0</v>
      </c>
      <c r="Q48" t="n">
        <v>0</v>
      </c>
      <c r="R48" s="2" t="inlineStr"/>
    </row>
    <row r="49" ht="15" customHeight="1">
      <c r="A49" t="inlineStr">
        <is>
          <t>A 52773-2024</t>
        </is>
      </c>
      <c r="B49" s="1" t="n">
        <v>45610.53207175926</v>
      </c>
      <c r="C49" s="1" t="n">
        <v>45974</v>
      </c>
      <c r="D49" t="inlineStr">
        <is>
          <t>STOCKHOLMS LÄN</t>
        </is>
      </c>
      <c r="E49" t="inlineStr">
        <is>
          <t>HANINGE</t>
        </is>
      </c>
      <c r="G49" t="n">
        <v>0.7</v>
      </c>
      <c r="H49" t="n">
        <v>0</v>
      </c>
      <c r="I49" t="n">
        <v>0</v>
      </c>
      <c r="J49" t="n">
        <v>0</v>
      </c>
      <c r="K49" t="n">
        <v>0</v>
      </c>
      <c r="L49" t="n">
        <v>0</v>
      </c>
      <c r="M49" t="n">
        <v>0</v>
      </c>
      <c r="N49" t="n">
        <v>0</v>
      </c>
      <c r="O49" t="n">
        <v>0</v>
      </c>
      <c r="P49" t="n">
        <v>0</v>
      </c>
      <c r="Q49" t="n">
        <v>0</v>
      </c>
      <c r="R49" s="2" t="inlineStr"/>
    </row>
    <row r="50" ht="15" customHeight="1">
      <c r="A50" t="inlineStr">
        <is>
          <t>A 19220-2023</t>
        </is>
      </c>
      <c r="B50" s="1" t="n">
        <v>45048</v>
      </c>
      <c r="C50" s="1" t="n">
        <v>45974</v>
      </c>
      <c r="D50" t="inlineStr">
        <is>
          <t>STOCKHOLMS LÄN</t>
        </is>
      </c>
      <c r="E50" t="inlineStr">
        <is>
          <t>HANINGE</t>
        </is>
      </c>
      <c r="G50" t="n">
        <v>1.4</v>
      </c>
      <c r="H50" t="n">
        <v>0</v>
      </c>
      <c r="I50" t="n">
        <v>0</v>
      </c>
      <c r="J50" t="n">
        <v>0</v>
      </c>
      <c r="K50" t="n">
        <v>0</v>
      </c>
      <c r="L50" t="n">
        <v>0</v>
      </c>
      <c r="M50" t="n">
        <v>0</v>
      </c>
      <c r="N50" t="n">
        <v>0</v>
      </c>
      <c r="O50" t="n">
        <v>0</v>
      </c>
      <c r="P50" t="n">
        <v>0</v>
      </c>
      <c r="Q50" t="n">
        <v>0</v>
      </c>
      <c r="R50" s="2" t="inlineStr"/>
    </row>
    <row r="51" ht="15" customHeight="1">
      <c r="A51" t="inlineStr">
        <is>
          <t>A 9946-2024</t>
        </is>
      </c>
      <c r="B51" s="1" t="n">
        <v>45363.59789351852</v>
      </c>
      <c r="C51" s="1" t="n">
        <v>45974</v>
      </c>
      <c r="D51" t="inlineStr">
        <is>
          <t>STOCKHOLMS LÄN</t>
        </is>
      </c>
      <c r="E51" t="inlineStr">
        <is>
          <t>HANINGE</t>
        </is>
      </c>
      <c r="G51" t="n">
        <v>3.8</v>
      </c>
      <c r="H51" t="n">
        <v>0</v>
      </c>
      <c r="I51" t="n">
        <v>0</v>
      </c>
      <c r="J51" t="n">
        <v>0</v>
      </c>
      <c r="K51" t="n">
        <v>0</v>
      </c>
      <c r="L51" t="n">
        <v>0</v>
      </c>
      <c r="M51" t="n">
        <v>0</v>
      </c>
      <c r="N51" t="n">
        <v>0</v>
      </c>
      <c r="O51" t="n">
        <v>0</v>
      </c>
      <c r="P51" t="n">
        <v>0</v>
      </c>
      <c r="Q51" t="n">
        <v>0</v>
      </c>
      <c r="R51" s="2" t="inlineStr"/>
    </row>
    <row r="52" ht="15" customHeight="1">
      <c r="A52" t="inlineStr">
        <is>
          <t>A 25584-2023</t>
        </is>
      </c>
      <c r="B52" s="1" t="n">
        <v>45089</v>
      </c>
      <c r="C52" s="1" t="n">
        <v>45974</v>
      </c>
      <c r="D52" t="inlineStr">
        <is>
          <t>STOCKHOLMS LÄN</t>
        </is>
      </c>
      <c r="E52" t="inlineStr">
        <is>
          <t>HANINGE</t>
        </is>
      </c>
      <c r="G52" t="n">
        <v>4.8</v>
      </c>
      <c r="H52" t="n">
        <v>0</v>
      </c>
      <c r="I52" t="n">
        <v>0</v>
      </c>
      <c r="J52" t="n">
        <v>0</v>
      </c>
      <c r="K52" t="n">
        <v>0</v>
      </c>
      <c r="L52" t="n">
        <v>0</v>
      </c>
      <c r="M52" t="n">
        <v>0</v>
      </c>
      <c r="N52" t="n">
        <v>0</v>
      </c>
      <c r="O52" t="n">
        <v>0</v>
      </c>
      <c r="P52" t="n">
        <v>0</v>
      </c>
      <c r="Q52" t="n">
        <v>0</v>
      </c>
      <c r="R52" s="2" t="inlineStr"/>
    </row>
    <row r="53" ht="15" customHeight="1">
      <c r="A53" t="inlineStr">
        <is>
          <t>A 18512-2024</t>
        </is>
      </c>
      <c r="B53" s="1" t="n">
        <v>45425.59938657407</v>
      </c>
      <c r="C53" s="1" t="n">
        <v>45974</v>
      </c>
      <c r="D53" t="inlineStr">
        <is>
          <t>STOCKHOLMS LÄN</t>
        </is>
      </c>
      <c r="E53" t="inlineStr">
        <is>
          <t>HANINGE</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21231-2025</t>
        </is>
      </c>
      <c r="B54" s="1" t="n">
        <v>45779.54644675926</v>
      </c>
      <c r="C54" s="1" t="n">
        <v>45974</v>
      </c>
      <c r="D54" t="inlineStr">
        <is>
          <t>STOCKHOLMS LÄN</t>
        </is>
      </c>
      <c r="E54" t="inlineStr">
        <is>
          <t>HANINGE</t>
        </is>
      </c>
      <c r="G54" t="n">
        <v>4.3</v>
      </c>
      <c r="H54" t="n">
        <v>0</v>
      </c>
      <c r="I54" t="n">
        <v>0</v>
      </c>
      <c r="J54" t="n">
        <v>0</v>
      </c>
      <c r="K54" t="n">
        <v>0</v>
      </c>
      <c r="L54" t="n">
        <v>0</v>
      </c>
      <c r="M54" t="n">
        <v>0</v>
      </c>
      <c r="N54" t="n">
        <v>0</v>
      </c>
      <c r="O54" t="n">
        <v>0</v>
      </c>
      <c r="P54" t="n">
        <v>0</v>
      </c>
      <c r="Q54" t="n">
        <v>0</v>
      </c>
      <c r="R54" s="2" t="inlineStr"/>
    </row>
    <row r="55" ht="15" customHeight="1">
      <c r="A55" t="inlineStr">
        <is>
          <t>A 3156-2025</t>
        </is>
      </c>
      <c r="B55" s="1" t="n">
        <v>45679.32142361111</v>
      </c>
      <c r="C55" s="1" t="n">
        <v>45974</v>
      </c>
      <c r="D55" t="inlineStr">
        <is>
          <t>STOCKHOLMS LÄN</t>
        </is>
      </c>
      <c r="E55" t="inlineStr">
        <is>
          <t>HANINGE</t>
        </is>
      </c>
      <c r="G55" t="n">
        <v>3.3</v>
      </c>
      <c r="H55" t="n">
        <v>0</v>
      </c>
      <c r="I55" t="n">
        <v>0</v>
      </c>
      <c r="J55" t="n">
        <v>0</v>
      </c>
      <c r="K55" t="n">
        <v>0</v>
      </c>
      <c r="L55" t="n">
        <v>0</v>
      </c>
      <c r="M55" t="n">
        <v>0</v>
      </c>
      <c r="N55" t="n">
        <v>0</v>
      </c>
      <c r="O55" t="n">
        <v>0</v>
      </c>
      <c r="P55" t="n">
        <v>0</v>
      </c>
      <c r="Q55" t="n">
        <v>0</v>
      </c>
      <c r="R55" s="2" t="inlineStr"/>
    </row>
    <row r="56" ht="15" customHeight="1">
      <c r="A56" t="inlineStr">
        <is>
          <t>A 1184-2024</t>
        </is>
      </c>
      <c r="B56" s="1" t="n">
        <v>45302.57663194444</v>
      </c>
      <c r="C56" s="1" t="n">
        <v>45974</v>
      </c>
      <c r="D56" t="inlineStr">
        <is>
          <t>STOCKHOLMS LÄN</t>
        </is>
      </c>
      <c r="E56" t="inlineStr">
        <is>
          <t>HANINGE</t>
        </is>
      </c>
      <c r="G56" t="n">
        <v>3.6</v>
      </c>
      <c r="H56" t="n">
        <v>0</v>
      </c>
      <c r="I56" t="n">
        <v>0</v>
      </c>
      <c r="J56" t="n">
        <v>0</v>
      </c>
      <c r="K56" t="n">
        <v>0</v>
      </c>
      <c r="L56" t="n">
        <v>0</v>
      </c>
      <c r="M56" t="n">
        <v>0</v>
      </c>
      <c r="N56" t="n">
        <v>0</v>
      </c>
      <c r="O56" t="n">
        <v>0</v>
      </c>
      <c r="P56" t="n">
        <v>0</v>
      </c>
      <c r="Q56" t="n">
        <v>0</v>
      </c>
      <c r="R56" s="2" t="inlineStr"/>
    </row>
    <row r="57" ht="15" customHeight="1">
      <c r="A57" t="inlineStr">
        <is>
          <t>A 41809-2021</t>
        </is>
      </c>
      <c r="B57" s="1" t="n">
        <v>44425</v>
      </c>
      <c r="C57" s="1" t="n">
        <v>45974</v>
      </c>
      <c r="D57" t="inlineStr">
        <is>
          <t>STOCKHOLMS LÄN</t>
        </is>
      </c>
      <c r="E57" t="inlineStr">
        <is>
          <t>HANINGE</t>
        </is>
      </c>
      <c r="G57" t="n">
        <v>0.9</v>
      </c>
      <c r="H57" t="n">
        <v>0</v>
      </c>
      <c r="I57" t="n">
        <v>0</v>
      </c>
      <c r="J57" t="n">
        <v>0</v>
      </c>
      <c r="K57" t="n">
        <v>0</v>
      </c>
      <c r="L57" t="n">
        <v>0</v>
      </c>
      <c r="M57" t="n">
        <v>0</v>
      </c>
      <c r="N57" t="n">
        <v>0</v>
      </c>
      <c r="O57" t="n">
        <v>0</v>
      </c>
      <c r="P57" t="n">
        <v>0</v>
      </c>
      <c r="Q57" t="n">
        <v>0</v>
      </c>
      <c r="R57" s="2" t="inlineStr"/>
    </row>
    <row r="58" ht="15" customHeight="1">
      <c r="A58" t="inlineStr">
        <is>
          <t>A 17765-2024</t>
        </is>
      </c>
      <c r="B58" s="1" t="n">
        <v>45418.63149305555</v>
      </c>
      <c r="C58" s="1" t="n">
        <v>45974</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24191-2025</t>
        </is>
      </c>
      <c r="B59" s="1" t="n">
        <v>45796.86738425926</v>
      </c>
      <c r="C59" s="1" t="n">
        <v>45974</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24193-2025</t>
        </is>
      </c>
      <c r="B60" s="1" t="n">
        <v>45796.89591435185</v>
      </c>
      <c r="C60" s="1" t="n">
        <v>45974</v>
      </c>
      <c r="D60" t="inlineStr">
        <is>
          <t>STOCKHOLMS LÄN</t>
        </is>
      </c>
      <c r="E60" t="inlineStr">
        <is>
          <t>HANINGE</t>
        </is>
      </c>
      <c r="G60" t="n">
        <v>0.4</v>
      </c>
      <c r="H60" t="n">
        <v>0</v>
      </c>
      <c r="I60" t="n">
        <v>0</v>
      </c>
      <c r="J60" t="n">
        <v>0</v>
      </c>
      <c r="K60" t="n">
        <v>0</v>
      </c>
      <c r="L60" t="n">
        <v>0</v>
      </c>
      <c r="M60" t="n">
        <v>0</v>
      </c>
      <c r="N60" t="n">
        <v>0</v>
      </c>
      <c r="O60" t="n">
        <v>0</v>
      </c>
      <c r="P60" t="n">
        <v>0</v>
      </c>
      <c r="Q60" t="n">
        <v>0</v>
      </c>
      <c r="R60" s="2" t="inlineStr"/>
    </row>
    <row r="61" ht="15" customHeight="1">
      <c r="A61" t="inlineStr">
        <is>
          <t>A 13046-2022</t>
        </is>
      </c>
      <c r="B61" s="1" t="n">
        <v>44643</v>
      </c>
      <c r="C61" s="1" t="n">
        <v>45974</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row>
    <row r="62" ht="15" customHeight="1">
      <c r="A62" t="inlineStr">
        <is>
          <t>A 24115-2025</t>
        </is>
      </c>
      <c r="B62" s="1" t="n">
        <v>45796.61494212963</v>
      </c>
      <c r="C62" s="1" t="n">
        <v>45974</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64075-2023</t>
        </is>
      </c>
      <c r="B63" s="1" t="n">
        <v>45279</v>
      </c>
      <c r="C63" s="1" t="n">
        <v>45974</v>
      </c>
      <c r="D63" t="inlineStr">
        <is>
          <t>STOCKHOLMS LÄN</t>
        </is>
      </c>
      <c r="E63" t="inlineStr">
        <is>
          <t>HANINGE</t>
        </is>
      </c>
      <c r="G63" t="n">
        <v>2.6</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45974</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50306-2023</t>
        </is>
      </c>
      <c r="B65" s="1" t="n">
        <v>45209</v>
      </c>
      <c r="C65" s="1" t="n">
        <v>45974</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c r="U65">
        <f>HYPERLINK("https://klasma.github.io/Logging_0136/knärot/A 50306-2023 karta knärot.png", "A 50306-2023")</f>
        <v/>
      </c>
      <c r="V65">
        <f>HYPERLINK("https://klasma.github.io/Logging_0136/klagomål/A 50306-2023 FSC-klagomål.docx", "A 50306-2023")</f>
        <v/>
      </c>
      <c r="W65">
        <f>HYPERLINK("https://klasma.github.io/Logging_0136/klagomålsmail/A 50306-2023 FSC-klagomål mail.docx", "A 50306-2023")</f>
        <v/>
      </c>
      <c r="X65">
        <f>HYPERLINK("https://klasma.github.io/Logging_0136/tillsyn/A 50306-2023 tillsynsbegäran.docx", "A 50306-2023")</f>
        <v/>
      </c>
      <c r="Y65">
        <f>HYPERLINK("https://klasma.github.io/Logging_0136/tillsynsmail/A 50306-2023 tillsynsbegäran mail.docx", "A 50306-2023")</f>
        <v/>
      </c>
    </row>
    <row r="66" ht="15" customHeight="1">
      <c r="A66" t="inlineStr">
        <is>
          <t>A 64548-2020</t>
        </is>
      </c>
      <c r="B66" s="1" t="n">
        <v>44166</v>
      </c>
      <c r="C66" s="1" t="n">
        <v>45974</v>
      </c>
      <c r="D66" t="inlineStr">
        <is>
          <t>STOCKHOLMS LÄN</t>
        </is>
      </c>
      <c r="E66" t="inlineStr">
        <is>
          <t>HANINGE</t>
        </is>
      </c>
      <c r="G66" t="n">
        <v>7.2</v>
      </c>
      <c r="H66" t="n">
        <v>0</v>
      </c>
      <c r="I66" t="n">
        <v>0</v>
      </c>
      <c r="J66" t="n">
        <v>0</v>
      </c>
      <c r="K66" t="n">
        <v>0</v>
      </c>
      <c r="L66" t="n">
        <v>0</v>
      </c>
      <c r="M66" t="n">
        <v>0</v>
      </c>
      <c r="N66" t="n">
        <v>0</v>
      </c>
      <c r="O66" t="n">
        <v>0</v>
      </c>
      <c r="P66" t="n">
        <v>0</v>
      </c>
      <c r="Q66" t="n">
        <v>0</v>
      </c>
      <c r="R66" s="2" t="inlineStr"/>
    </row>
    <row r="67" ht="15" customHeight="1">
      <c r="A67" t="inlineStr">
        <is>
          <t>A 22288-2023</t>
        </is>
      </c>
      <c r="B67" s="1" t="n">
        <v>45070</v>
      </c>
      <c r="C67" s="1" t="n">
        <v>45974</v>
      </c>
      <c r="D67" t="inlineStr">
        <is>
          <t>STOCKHOLMS LÄN</t>
        </is>
      </c>
      <c r="E67" t="inlineStr">
        <is>
          <t>HANINGE</t>
        </is>
      </c>
      <c r="G67" t="n">
        <v>2.8</v>
      </c>
      <c r="H67" t="n">
        <v>0</v>
      </c>
      <c r="I67" t="n">
        <v>0</v>
      </c>
      <c r="J67" t="n">
        <v>0</v>
      </c>
      <c r="K67" t="n">
        <v>0</v>
      </c>
      <c r="L67" t="n">
        <v>0</v>
      </c>
      <c r="M67" t="n">
        <v>0</v>
      </c>
      <c r="N67" t="n">
        <v>0</v>
      </c>
      <c r="O67" t="n">
        <v>0</v>
      </c>
      <c r="P67" t="n">
        <v>0</v>
      </c>
      <c r="Q67" t="n">
        <v>0</v>
      </c>
      <c r="R67" s="2" t="inlineStr"/>
    </row>
    <row r="68" ht="15" customHeight="1">
      <c r="A68" t="inlineStr">
        <is>
          <t>A 27596-2025</t>
        </is>
      </c>
      <c r="B68" s="1" t="n">
        <v>45813.52303240741</v>
      </c>
      <c r="C68" s="1" t="n">
        <v>45974</v>
      </c>
      <c r="D68" t="inlineStr">
        <is>
          <t>STOCKHOLMS LÄN</t>
        </is>
      </c>
      <c r="E68" t="inlineStr">
        <is>
          <t>HANINGE</t>
        </is>
      </c>
      <c r="G68" t="n">
        <v>0.1</v>
      </c>
      <c r="H68" t="n">
        <v>0</v>
      </c>
      <c r="I68" t="n">
        <v>0</v>
      </c>
      <c r="J68" t="n">
        <v>0</v>
      </c>
      <c r="K68" t="n">
        <v>0</v>
      </c>
      <c r="L68" t="n">
        <v>0</v>
      </c>
      <c r="M68" t="n">
        <v>0</v>
      </c>
      <c r="N68" t="n">
        <v>0</v>
      </c>
      <c r="O68" t="n">
        <v>0</v>
      </c>
      <c r="P68" t="n">
        <v>0</v>
      </c>
      <c r="Q68" t="n">
        <v>0</v>
      </c>
      <c r="R68" s="2" t="inlineStr"/>
    </row>
    <row r="69" ht="15" customHeight="1">
      <c r="A69" t="inlineStr">
        <is>
          <t>A 38880-2025</t>
        </is>
      </c>
      <c r="B69" s="1" t="n">
        <v>45887.57966435186</v>
      </c>
      <c r="C69" s="1" t="n">
        <v>45974</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68894-2021</t>
        </is>
      </c>
      <c r="B70" s="1" t="n">
        <v>44526</v>
      </c>
      <c r="C70" s="1" t="n">
        <v>45974</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18491-2025</t>
        </is>
      </c>
      <c r="B71" s="1" t="n">
        <v>45763.34135416667</v>
      </c>
      <c r="C71" s="1" t="n">
        <v>45974</v>
      </c>
      <c r="D71" t="inlineStr">
        <is>
          <t>STOCKHOLMS LÄN</t>
        </is>
      </c>
      <c r="E71" t="inlineStr">
        <is>
          <t>HANINGE</t>
        </is>
      </c>
      <c r="G71" t="n">
        <v>0.5</v>
      </c>
      <c r="H71" t="n">
        <v>0</v>
      </c>
      <c r="I71" t="n">
        <v>0</v>
      </c>
      <c r="J71" t="n">
        <v>0</v>
      </c>
      <c r="K71" t="n">
        <v>0</v>
      </c>
      <c r="L71" t="n">
        <v>0</v>
      </c>
      <c r="M71" t="n">
        <v>0</v>
      </c>
      <c r="N71" t="n">
        <v>0</v>
      </c>
      <c r="O71" t="n">
        <v>0</v>
      </c>
      <c r="P71" t="n">
        <v>0</v>
      </c>
      <c r="Q71" t="n">
        <v>0</v>
      </c>
      <c r="R71" s="2" t="inlineStr"/>
    </row>
    <row r="72" ht="15" customHeight="1">
      <c r="A72" t="inlineStr">
        <is>
          <t>A 18528-2024</t>
        </is>
      </c>
      <c r="B72" s="1" t="n">
        <v>45425.61965277778</v>
      </c>
      <c r="C72" s="1" t="n">
        <v>45974</v>
      </c>
      <c r="D72" t="inlineStr">
        <is>
          <t>STOCKHOLMS LÄN</t>
        </is>
      </c>
      <c r="E72" t="inlineStr">
        <is>
          <t>HANINGE</t>
        </is>
      </c>
      <c r="F72" t="inlineStr">
        <is>
          <t>Kommuner</t>
        </is>
      </c>
      <c r="G72" t="n">
        <v>0.5</v>
      </c>
      <c r="H72" t="n">
        <v>0</v>
      </c>
      <c r="I72" t="n">
        <v>0</v>
      </c>
      <c r="J72" t="n">
        <v>0</v>
      </c>
      <c r="K72" t="n">
        <v>0</v>
      </c>
      <c r="L72" t="n">
        <v>0</v>
      </c>
      <c r="M72" t="n">
        <v>0</v>
      </c>
      <c r="N72" t="n">
        <v>0</v>
      </c>
      <c r="O72" t="n">
        <v>0</v>
      </c>
      <c r="P72" t="n">
        <v>0</v>
      </c>
      <c r="Q72" t="n">
        <v>0</v>
      </c>
      <c r="R72" s="2" t="inlineStr"/>
    </row>
    <row r="73" ht="15" customHeight="1">
      <c r="A73" t="inlineStr">
        <is>
          <t>A 8163-2024</t>
        </is>
      </c>
      <c r="B73" s="1" t="n">
        <v>45351.60337962963</v>
      </c>
      <c r="C73" s="1" t="n">
        <v>45974</v>
      </c>
      <c r="D73" t="inlineStr">
        <is>
          <t>STOCKHOLMS LÄN</t>
        </is>
      </c>
      <c r="E73" t="inlineStr">
        <is>
          <t>HANINGE</t>
        </is>
      </c>
      <c r="F73" t="inlineStr">
        <is>
          <t>Kommuner</t>
        </is>
      </c>
      <c r="G73" t="n">
        <v>3.8</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45974</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32952-2025</t>
        </is>
      </c>
      <c r="B75" s="1" t="n">
        <v>45839.69278935185</v>
      </c>
      <c r="C75" s="1" t="n">
        <v>45974</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32954-2025</t>
        </is>
      </c>
      <c r="B76" s="1" t="n">
        <v>45839.70034722222</v>
      </c>
      <c r="C76" s="1" t="n">
        <v>45974</v>
      </c>
      <c r="D76" t="inlineStr">
        <is>
          <t>STOCKHOLMS LÄN</t>
        </is>
      </c>
      <c r="E76" t="inlineStr">
        <is>
          <t>HANINGE</t>
        </is>
      </c>
      <c r="G76" t="n">
        <v>1.6</v>
      </c>
      <c r="H76" t="n">
        <v>0</v>
      </c>
      <c r="I76" t="n">
        <v>0</v>
      </c>
      <c r="J76" t="n">
        <v>0</v>
      </c>
      <c r="K76" t="n">
        <v>0</v>
      </c>
      <c r="L76" t="n">
        <v>0</v>
      </c>
      <c r="M76" t="n">
        <v>0</v>
      </c>
      <c r="N76" t="n">
        <v>0</v>
      </c>
      <c r="O76" t="n">
        <v>0</v>
      </c>
      <c r="P76" t="n">
        <v>0</v>
      </c>
      <c r="Q76" t="n">
        <v>0</v>
      </c>
      <c r="R76" s="2" t="inlineStr"/>
    </row>
    <row r="77" ht="15" customHeight="1">
      <c r="A77" t="inlineStr">
        <is>
          <t>A 18490-2025</t>
        </is>
      </c>
      <c r="B77" s="1" t="n">
        <v>45763</v>
      </c>
      <c r="C77" s="1" t="n">
        <v>45974</v>
      </c>
      <c r="D77" t="inlineStr">
        <is>
          <t>STOCKHOLMS LÄN</t>
        </is>
      </c>
      <c r="E77" t="inlineStr">
        <is>
          <t>HANINGE</t>
        </is>
      </c>
      <c r="G77" t="n">
        <v>3</v>
      </c>
      <c r="H77" t="n">
        <v>0</v>
      </c>
      <c r="I77" t="n">
        <v>0</v>
      </c>
      <c r="J77" t="n">
        <v>0</v>
      </c>
      <c r="K77" t="n">
        <v>0</v>
      </c>
      <c r="L77" t="n">
        <v>0</v>
      </c>
      <c r="M77" t="n">
        <v>0</v>
      </c>
      <c r="N77" t="n">
        <v>0</v>
      </c>
      <c r="O77" t="n">
        <v>0</v>
      </c>
      <c r="P77" t="n">
        <v>0</v>
      </c>
      <c r="Q77" t="n">
        <v>0</v>
      </c>
      <c r="R77" s="2" t="inlineStr"/>
    </row>
    <row r="78" ht="15" customHeight="1">
      <c r="A78" t="inlineStr">
        <is>
          <t>A 1187-2024</t>
        </is>
      </c>
      <c r="B78" s="1" t="n">
        <v>45302.58045138889</v>
      </c>
      <c r="C78" s="1" t="n">
        <v>45974</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18548-2024</t>
        </is>
      </c>
      <c r="B79" s="1" t="n">
        <v>45425.64708333334</v>
      </c>
      <c r="C79" s="1" t="n">
        <v>45974</v>
      </c>
      <c r="D79" t="inlineStr">
        <is>
          <t>STOCKHOLMS LÄN</t>
        </is>
      </c>
      <c r="E79" t="inlineStr">
        <is>
          <t>HANINGE</t>
        </is>
      </c>
      <c r="F79" t="inlineStr">
        <is>
          <t>Kommuner</t>
        </is>
      </c>
      <c r="G79" t="n">
        <v>7.3</v>
      </c>
      <c r="H79" t="n">
        <v>0</v>
      </c>
      <c r="I79" t="n">
        <v>0</v>
      </c>
      <c r="J79" t="n">
        <v>0</v>
      </c>
      <c r="K79" t="n">
        <v>0</v>
      </c>
      <c r="L79" t="n">
        <v>0</v>
      </c>
      <c r="M79" t="n">
        <v>0</v>
      </c>
      <c r="N79" t="n">
        <v>0</v>
      </c>
      <c r="O79" t="n">
        <v>0</v>
      </c>
      <c r="P79" t="n">
        <v>0</v>
      </c>
      <c r="Q79" t="n">
        <v>0</v>
      </c>
      <c r="R79" s="2" t="inlineStr"/>
    </row>
    <row r="80" ht="15" customHeight="1">
      <c r="A80" t="inlineStr">
        <is>
          <t>A 32948-2025</t>
        </is>
      </c>
      <c r="B80" s="1" t="n">
        <v>45839</v>
      </c>
      <c r="C80" s="1" t="n">
        <v>45974</v>
      </c>
      <c r="D80" t="inlineStr">
        <is>
          <t>STOCKHOLMS LÄN</t>
        </is>
      </c>
      <c r="E80" t="inlineStr">
        <is>
          <t>HANINGE</t>
        </is>
      </c>
      <c r="G80" t="n">
        <v>1.1</v>
      </c>
      <c r="H80" t="n">
        <v>0</v>
      </c>
      <c r="I80" t="n">
        <v>0</v>
      </c>
      <c r="J80" t="n">
        <v>0</v>
      </c>
      <c r="K80" t="n">
        <v>0</v>
      </c>
      <c r="L80" t="n">
        <v>0</v>
      </c>
      <c r="M80" t="n">
        <v>0</v>
      </c>
      <c r="N80" t="n">
        <v>0</v>
      </c>
      <c r="O80" t="n">
        <v>0</v>
      </c>
      <c r="P80" t="n">
        <v>0</v>
      </c>
      <c r="Q80" t="n">
        <v>0</v>
      </c>
      <c r="R80" s="2" t="inlineStr"/>
    </row>
    <row r="81" ht="15" customHeight="1">
      <c r="A81" t="inlineStr">
        <is>
          <t>A 20839-2024</t>
        </is>
      </c>
      <c r="B81" s="1" t="n">
        <v>45439.39953703704</v>
      </c>
      <c r="C81" s="1" t="n">
        <v>45974</v>
      </c>
      <c r="D81" t="inlineStr">
        <is>
          <t>STOCKHOLMS LÄN</t>
        </is>
      </c>
      <c r="E81" t="inlineStr">
        <is>
          <t>HANINGE</t>
        </is>
      </c>
      <c r="G81" t="n">
        <v>8.4</v>
      </c>
      <c r="H81" t="n">
        <v>0</v>
      </c>
      <c r="I81" t="n">
        <v>0</v>
      </c>
      <c r="J81" t="n">
        <v>0</v>
      </c>
      <c r="K81" t="n">
        <v>0</v>
      </c>
      <c r="L81" t="n">
        <v>0</v>
      </c>
      <c r="M81" t="n">
        <v>0</v>
      </c>
      <c r="N81" t="n">
        <v>0</v>
      </c>
      <c r="O81" t="n">
        <v>0</v>
      </c>
      <c r="P81" t="n">
        <v>0</v>
      </c>
      <c r="Q81" t="n">
        <v>0</v>
      </c>
      <c r="R81" s="2" t="inlineStr"/>
    </row>
    <row r="82" ht="15" customHeight="1">
      <c r="A82" t="inlineStr">
        <is>
          <t>A 48606-2025</t>
        </is>
      </c>
      <c r="B82" s="1" t="n">
        <v>45936.47019675926</v>
      </c>
      <c r="C82" s="1" t="n">
        <v>45974</v>
      </c>
      <c r="D82" t="inlineStr">
        <is>
          <t>STOCKHOLMS LÄN</t>
        </is>
      </c>
      <c r="E82" t="inlineStr">
        <is>
          <t>HANINGE</t>
        </is>
      </c>
      <c r="G82" t="n">
        <v>6.9</v>
      </c>
      <c r="H82" t="n">
        <v>0</v>
      </c>
      <c r="I82" t="n">
        <v>0</v>
      </c>
      <c r="J82" t="n">
        <v>0</v>
      </c>
      <c r="K82" t="n">
        <v>0</v>
      </c>
      <c r="L82" t="n">
        <v>0</v>
      </c>
      <c r="M82" t="n">
        <v>0</v>
      </c>
      <c r="N82" t="n">
        <v>0</v>
      </c>
      <c r="O82" t="n">
        <v>0</v>
      </c>
      <c r="P82" t="n">
        <v>0</v>
      </c>
      <c r="Q82" t="n">
        <v>0</v>
      </c>
      <c r="R82" s="2" t="inlineStr"/>
    </row>
    <row r="83" ht="15" customHeight="1">
      <c r="A83" t="inlineStr">
        <is>
          <t>A 5474-2024</t>
        </is>
      </c>
      <c r="B83" s="1" t="n">
        <v>45333.51131944444</v>
      </c>
      <c r="C83" s="1" t="n">
        <v>45974</v>
      </c>
      <c r="D83" t="inlineStr">
        <is>
          <t>STOCKHOLMS LÄN</t>
        </is>
      </c>
      <c r="E83" t="inlineStr">
        <is>
          <t>HANINGE</t>
        </is>
      </c>
      <c r="F83" t="inlineStr">
        <is>
          <t>Kommuner</t>
        </is>
      </c>
      <c r="G83" t="n">
        <v>0.9</v>
      </c>
      <c r="H83" t="n">
        <v>0</v>
      </c>
      <c r="I83" t="n">
        <v>0</v>
      </c>
      <c r="J83" t="n">
        <v>0</v>
      </c>
      <c r="K83" t="n">
        <v>0</v>
      </c>
      <c r="L83" t="n">
        <v>0</v>
      </c>
      <c r="M83" t="n">
        <v>0</v>
      </c>
      <c r="N83" t="n">
        <v>0</v>
      </c>
      <c r="O83" t="n">
        <v>0</v>
      </c>
      <c r="P83" t="n">
        <v>0</v>
      </c>
      <c r="Q83" t="n">
        <v>0</v>
      </c>
      <c r="R83" s="2" t="inlineStr"/>
    </row>
    <row r="84" ht="15" customHeight="1">
      <c r="A84" t="inlineStr">
        <is>
          <t>A 14264-2025</t>
        </is>
      </c>
      <c r="B84" s="1" t="n">
        <v>45740.6340162037</v>
      </c>
      <c r="C84" s="1" t="n">
        <v>45974</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23666-2024</t>
        </is>
      </c>
      <c r="B85" s="1" t="n">
        <v>45454.57909722222</v>
      </c>
      <c r="C85" s="1" t="n">
        <v>45974</v>
      </c>
      <c r="D85" t="inlineStr">
        <is>
          <t>STOCKHOLMS LÄN</t>
        </is>
      </c>
      <c r="E85" t="inlineStr">
        <is>
          <t>HANINGE</t>
        </is>
      </c>
      <c r="G85" t="n">
        <v>0.8</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45974</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45974</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6648-2023</t>
        </is>
      </c>
      <c r="B88" s="1" t="n">
        <v>44966</v>
      </c>
      <c r="C88" s="1" t="n">
        <v>45974</v>
      </c>
      <c r="D88" t="inlineStr">
        <is>
          <t>STOCKHOLMS LÄN</t>
        </is>
      </c>
      <c r="E88" t="inlineStr">
        <is>
          <t>HANINGE</t>
        </is>
      </c>
      <c r="G88" t="n">
        <v>4</v>
      </c>
      <c r="H88" t="n">
        <v>0</v>
      </c>
      <c r="I88" t="n">
        <v>0</v>
      </c>
      <c r="J88" t="n">
        <v>0</v>
      </c>
      <c r="K88" t="n">
        <v>0</v>
      </c>
      <c r="L88" t="n">
        <v>0</v>
      </c>
      <c r="M88" t="n">
        <v>0</v>
      </c>
      <c r="N88" t="n">
        <v>0</v>
      </c>
      <c r="O88" t="n">
        <v>0</v>
      </c>
      <c r="P88" t="n">
        <v>0</v>
      </c>
      <c r="Q88" t="n">
        <v>0</v>
      </c>
      <c r="R88" s="2" t="inlineStr"/>
    </row>
    <row r="89" ht="15" customHeight="1">
      <c r="A89" t="inlineStr">
        <is>
          <t>A 33792-2023</t>
        </is>
      </c>
      <c r="B89" s="1" t="n">
        <v>45121</v>
      </c>
      <c r="C89" s="1" t="n">
        <v>45974</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14900-2025</t>
        </is>
      </c>
      <c r="B90" s="1" t="n">
        <v>45743.48729166666</v>
      </c>
      <c r="C90" s="1" t="n">
        <v>45974</v>
      </c>
      <c r="D90" t="inlineStr">
        <is>
          <t>STOCKHOLMS LÄN</t>
        </is>
      </c>
      <c r="E90" t="inlineStr">
        <is>
          <t>HANINGE</t>
        </is>
      </c>
      <c r="G90" t="n">
        <v>4.5</v>
      </c>
      <c r="H90" t="n">
        <v>0</v>
      </c>
      <c r="I90" t="n">
        <v>0</v>
      </c>
      <c r="J90" t="n">
        <v>0</v>
      </c>
      <c r="K90" t="n">
        <v>0</v>
      </c>
      <c r="L90" t="n">
        <v>0</v>
      </c>
      <c r="M90" t="n">
        <v>0</v>
      </c>
      <c r="N90" t="n">
        <v>0</v>
      </c>
      <c r="O90" t="n">
        <v>0</v>
      </c>
      <c r="P90" t="n">
        <v>0</v>
      </c>
      <c r="Q90" t="n">
        <v>0</v>
      </c>
      <c r="R90" s="2" t="inlineStr"/>
    </row>
    <row r="91" ht="15" customHeight="1">
      <c r="A91" t="inlineStr">
        <is>
          <t>A 20527-2025</t>
        </is>
      </c>
      <c r="B91" s="1" t="n">
        <v>45775.60663194444</v>
      </c>
      <c r="C91" s="1" t="n">
        <v>45974</v>
      </c>
      <c r="D91" t="inlineStr">
        <is>
          <t>STOCKHOLMS LÄN</t>
        </is>
      </c>
      <c r="E91" t="inlineStr">
        <is>
          <t>HANINGE</t>
        </is>
      </c>
      <c r="G91" t="n">
        <v>2.1</v>
      </c>
      <c r="H91" t="n">
        <v>0</v>
      </c>
      <c r="I91" t="n">
        <v>0</v>
      </c>
      <c r="J91" t="n">
        <v>0</v>
      </c>
      <c r="K91" t="n">
        <v>0</v>
      </c>
      <c r="L91" t="n">
        <v>0</v>
      </c>
      <c r="M91" t="n">
        <v>0</v>
      </c>
      <c r="N91" t="n">
        <v>0</v>
      </c>
      <c r="O91" t="n">
        <v>0</v>
      </c>
      <c r="P91" t="n">
        <v>0</v>
      </c>
      <c r="Q91" t="n">
        <v>0</v>
      </c>
      <c r="R91" s="2" t="inlineStr"/>
    </row>
    <row r="92" ht="15" customHeight="1">
      <c r="A92" t="inlineStr">
        <is>
          <t>A 64568-2023</t>
        </is>
      </c>
      <c r="B92" s="1" t="n">
        <v>45281.43164351852</v>
      </c>
      <c r="C92" s="1" t="n">
        <v>45974</v>
      </c>
      <c r="D92" t="inlineStr">
        <is>
          <t>STOCKHOLMS LÄN</t>
        </is>
      </c>
      <c r="E92" t="inlineStr">
        <is>
          <t>HANINGE</t>
        </is>
      </c>
      <c r="G92" t="n">
        <v>3.1</v>
      </c>
      <c r="H92" t="n">
        <v>0</v>
      </c>
      <c r="I92" t="n">
        <v>0</v>
      </c>
      <c r="J92" t="n">
        <v>0</v>
      </c>
      <c r="K92" t="n">
        <v>0</v>
      </c>
      <c r="L92" t="n">
        <v>0</v>
      </c>
      <c r="M92" t="n">
        <v>0</v>
      </c>
      <c r="N92" t="n">
        <v>0</v>
      </c>
      <c r="O92" t="n">
        <v>0</v>
      </c>
      <c r="P92" t="n">
        <v>0</v>
      </c>
      <c r="Q92" t="n">
        <v>0</v>
      </c>
      <c r="R92" s="2" t="inlineStr"/>
    </row>
    <row r="93" ht="15" customHeight="1">
      <c r="A93" t="inlineStr">
        <is>
          <t>A 1180-2024</t>
        </is>
      </c>
      <c r="B93" s="1" t="n">
        <v>45302</v>
      </c>
      <c r="C93" s="1" t="n">
        <v>45974</v>
      </c>
      <c r="D93" t="inlineStr">
        <is>
          <t>STOCKHOLMS LÄN</t>
        </is>
      </c>
      <c r="E93" t="inlineStr">
        <is>
          <t>HANINGE</t>
        </is>
      </c>
      <c r="G93" t="n">
        <v>2</v>
      </c>
      <c r="H93" t="n">
        <v>0</v>
      </c>
      <c r="I93" t="n">
        <v>0</v>
      </c>
      <c r="J93" t="n">
        <v>0</v>
      </c>
      <c r="K93" t="n">
        <v>0</v>
      </c>
      <c r="L93" t="n">
        <v>0</v>
      </c>
      <c r="M93" t="n">
        <v>0</v>
      </c>
      <c r="N93" t="n">
        <v>0</v>
      </c>
      <c r="O93" t="n">
        <v>0</v>
      </c>
      <c r="P93" t="n">
        <v>0</v>
      </c>
      <c r="Q93" t="n">
        <v>0</v>
      </c>
      <c r="R93" s="2" t="inlineStr"/>
    </row>
    <row r="94" ht="15" customHeight="1">
      <c r="A94" t="inlineStr">
        <is>
          <t>A 24873-2023</t>
        </is>
      </c>
      <c r="B94" s="1" t="n">
        <v>45085</v>
      </c>
      <c r="C94" s="1" t="n">
        <v>45974</v>
      </c>
      <c r="D94" t="inlineStr">
        <is>
          <t>STOCKHOLMS LÄN</t>
        </is>
      </c>
      <c r="E94" t="inlineStr">
        <is>
          <t>HANINGE</t>
        </is>
      </c>
      <c r="G94" t="n">
        <v>1.9</v>
      </c>
      <c r="H94" t="n">
        <v>0</v>
      </c>
      <c r="I94" t="n">
        <v>0</v>
      </c>
      <c r="J94" t="n">
        <v>0</v>
      </c>
      <c r="K94" t="n">
        <v>0</v>
      </c>
      <c r="L94" t="n">
        <v>0</v>
      </c>
      <c r="M94" t="n">
        <v>0</v>
      </c>
      <c r="N94" t="n">
        <v>0</v>
      </c>
      <c r="O94" t="n">
        <v>0</v>
      </c>
      <c r="P94" t="n">
        <v>0</v>
      </c>
      <c r="Q94" t="n">
        <v>0</v>
      </c>
      <c r="R94" s="2" t="inlineStr"/>
    </row>
    <row r="95" ht="15" customHeight="1">
      <c r="A95" t="inlineStr">
        <is>
          <t>A 58599-2023</t>
        </is>
      </c>
      <c r="B95" s="1" t="n">
        <v>45251.47721064815</v>
      </c>
      <c r="C95" s="1" t="n">
        <v>45974</v>
      </c>
      <c r="D95" t="inlineStr">
        <is>
          <t>STOCKHOLMS LÄN</t>
        </is>
      </c>
      <c r="E95" t="inlineStr">
        <is>
          <t>HANINGE</t>
        </is>
      </c>
      <c r="G95" t="n">
        <v>3.2</v>
      </c>
      <c r="H95" t="n">
        <v>0</v>
      </c>
      <c r="I95" t="n">
        <v>0</v>
      </c>
      <c r="J95" t="n">
        <v>0</v>
      </c>
      <c r="K95" t="n">
        <v>0</v>
      </c>
      <c r="L95" t="n">
        <v>0</v>
      </c>
      <c r="M95" t="n">
        <v>0</v>
      </c>
      <c r="N95" t="n">
        <v>0</v>
      </c>
      <c r="O95" t="n">
        <v>0</v>
      </c>
      <c r="P95" t="n">
        <v>0</v>
      </c>
      <c r="Q95" t="n">
        <v>0</v>
      </c>
      <c r="R95" s="2" t="inlineStr"/>
    </row>
    <row r="96">
      <c r="A96" t="inlineStr">
        <is>
          <t>A 52836-2024</t>
        </is>
      </c>
      <c r="B96" s="1" t="n">
        <v>45610.59637731482</v>
      </c>
      <c r="C96" s="1" t="n">
        <v>45974</v>
      </c>
      <c r="D96" t="inlineStr">
        <is>
          <t>STOCKHOLMS LÄN</t>
        </is>
      </c>
      <c r="E96" t="inlineStr">
        <is>
          <t>HANINGE</t>
        </is>
      </c>
      <c r="G96" t="n">
        <v>1</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2025-11-13T10:09:49Z</dcterms:created>
  <dcterms:modified xmlns:dcterms="http://purl.org/dc/terms/" xmlns:xsi="http://www.w3.org/2001/XMLSchema-instance" xsi:type="dcterms:W3CDTF">2025-11-13T10:09:50Z</dcterms:modified>
</cp:coreProperties>
</file>