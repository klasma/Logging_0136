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46237</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46237</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46237</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46237</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46237</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46237</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46237</v>
      </c>
      <c r="F8" t="inlineStr">
        <is>
          <t>STOCKHOLMS LÄN</t>
        </is>
      </c>
      <c r="G8" t="inlineStr">
        <is>
          <t>HANINGE</t>
        </is>
      </c>
      <c r="I8" t="n">
        <v>2.2</v>
      </c>
      <c r="J8" t="n">
        <v>9</v>
      </c>
      <c r="K8" t="n">
        <v>10</v>
      </c>
      <c r="L8" t="n">
        <v>11</v>
      </c>
      <c r="M8" t="n">
        <v>1</v>
      </c>
      <c r="N8" t="n">
        <v>0</v>
      </c>
      <c r="O8" t="n">
        <v>0</v>
      </c>
      <c r="P8" t="n">
        <v>0</v>
      </c>
      <c r="Q8" t="n">
        <v>12</v>
      </c>
      <c r="R8" t="n">
        <v>1</v>
      </c>
      <c r="S8" t="n">
        <v>26</v>
      </c>
      <c r="T8" t="n">
        <v>55</v>
      </c>
      <c r="U8" t="n">
        <v>35</v>
      </c>
      <c r="V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8">
        <f>HYPERLINK("https://klasma.github.io/Logging_0136/artfynd/A 3152-2025 artfynd.xlsx", "A 3152-2025")</f>
        <v/>
      </c>
      <c r="X8">
        <f>HYPERLINK("https://klasma.github.io/Logging_0136/kartor/A 3152-2025 karta.png", "A 3152-2025")</f>
        <v/>
      </c>
      <c r="Y8">
        <f>HYPERLINK("https://klasma.github.io/Logging_0136/kartor_geotiff/A 3152-2025 georefererad karta.tif", "A 3152-2025")</f>
        <v/>
      </c>
      <c r="Z8">
        <f>HYPERLINK("https://klasma.github.io/Logging_0136/knärot/A 3152-2025 karta knärot.png", "A 3152-2025")</f>
        <v/>
      </c>
      <c r="AA8">
        <f>HYPERLINK("https://klasma.github.io/Logging_0136/klagomål/A 3152-2025 FSC-klagomål.docx", "A 3152-2025")</f>
        <v/>
      </c>
      <c r="AB8">
        <f>HYPERLINK("https://klasma.github.io/Logging_0136/klagomålsmail/A 3152-2025 FSC-klagomål mail.docx", "A 3152-2025")</f>
        <v/>
      </c>
      <c r="AC8">
        <f>HYPERLINK("https://klasma.github.io/Logging_0136/tillsyn/A 3152-2025 tillsynsbegäran.docx", "A 3152-2025")</f>
        <v/>
      </c>
      <c r="AD8">
        <f>HYPERLINK("https://klasma.github.io/Logging_0136/tillsynsmail/A 3152-2025 tillsynsbegäran mail.docx", "A 3152-2025")</f>
        <v/>
      </c>
      <c r="AE8">
        <f>HYPERLINK("https://klasma.github.io/Logging_0136/fåglar/A 3152-2025 prioriterade fågelarter.docx", "A 3152-2025")</f>
        <v/>
      </c>
    </row>
    <row r="9" ht="15" customHeight="1">
      <c r="A9" t="inlineStr">
        <is>
          <t>A 67894-2021</t>
        </is>
      </c>
      <c r="B9" t="inlineStr">
        <is>
          <t>avverkningsanmälan</t>
        </is>
      </c>
      <c r="C9" t="inlineStr">
        <is>
          <t>Föryngringsavverkning</t>
        </is>
      </c>
      <c r="D9" s="1" t="n">
        <v>44525</v>
      </c>
      <c r="E9" s="1" t="n">
        <v>46237</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46237</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46237</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46237</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46237</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46237</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46237</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46237</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46237</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46237</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46237</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46237</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46237</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46237</v>
      </c>
      <c r="F22" t="inlineStr">
        <is>
          <t>STOCKHOLMS LÄN</t>
        </is>
      </c>
      <c r="G22" t="inlineStr">
        <is>
          <t>HANINGE</t>
        </is>
      </c>
      <c r="I22" t="n">
        <v>1.3</v>
      </c>
      <c r="J22" t="n">
        <v>0</v>
      </c>
      <c r="K22" t="n">
        <v>1</v>
      </c>
      <c r="L22" t="n">
        <v>1</v>
      </c>
      <c r="M22" t="n">
        <v>0</v>
      </c>
      <c r="N22" t="n">
        <v>0</v>
      </c>
      <c r="O22" t="n">
        <v>0</v>
      </c>
      <c r="P22" t="n">
        <v>0</v>
      </c>
      <c r="Q22" t="n">
        <v>1</v>
      </c>
      <c r="R22" t="n">
        <v>0</v>
      </c>
      <c r="S22" t="n">
        <v>2</v>
      </c>
      <c r="T22" t="n">
        <v>2</v>
      </c>
      <c r="U22" t="n">
        <v>1</v>
      </c>
      <c r="V22" s="2" t="inlineStr">
        <is>
          <t>Skogshare
Grovticka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row>
    <row r="23" ht="15" customHeight="1">
      <c r="A23" t="inlineStr">
        <is>
          <t>A 39651-2021</t>
        </is>
      </c>
      <c r="B23" t="inlineStr">
        <is>
          <t>avverkningsanmälan</t>
        </is>
      </c>
      <c r="C23" t="inlineStr">
        <is>
          <t>Föryngringsavverkning</t>
        </is>
      </c>
      <c r="D23" s="1" t="n">
        <v>44417</v>
      </c>
      <c r="E23" s="1" t="n">
        <v>46237</v>
      </c>
      <c r="F23" t="inlineStr">
        <is>
          <t>STOCKHOLMS LÄN</t>
        </is>
      </c>
      <c r="G23" t="inlineStr">
        <is>
          <t>HANINGE</t>
        </is>
      </c>
      <c r="I23" t="n">
        <v>3.6</v>
      </c>
      <c r="J23" t="n">
        <v>0</v>
      </c>
      <c r="K23" t="n">
        <v>1</v>
      </c>
      <c r="L23" t="n">
        <v>0</v>
      </c>
      <c r="M23" t="n">
        <v>0</v>
      </c>
      <c r="N23" t="n">
        <v>0</v>
      </c>
      <c r="O23" t="n">
        <v>0</v>
      </c>
      <c r="P23" t="n">
        <v>0</v>
      </c>
      <c r="Q23" t="n">
        <v>0</v>
      </c>
      <c r="R23" t="n">
        <v>0</v>
      </c>
      <c r="S23" t="n">
        <v>1</v>
      </c>
      <c r="T23" t="n">
        <v>1</v>
      </c>
      <c r="U23" t="n">
        <v>0</v>
      </c>
      <c r="V23" s="2" t="inlineStr">
        <is>
          <t>Flagellkvastmossa</t>
        </is>
      </c>
      <c r="W23">
        <f>HYPERLINK("https://klasma.github.io/Logging_0136/artfynd/A 39651-2021 artfynd.xlsx", "A 39651-2021")</f>
        <v/>
      </c>
      <c r="X23">
        <f>HYPERLINK("https://klasma.github.io/Logging_0136/kartor/A 39651-2021 karta.png", "A 39651-2021")</f>
        <v/>
      </c>
      <c r="Y23">
        <f>HYPERLINK("https://klasma.github.io/Logging_0136/kartor_geotiff/A 39651-2021 georefererad karta.tif", "A 39651-2021")</f>
        <v/>
      </c>
      <c r="AA23">
        <f>HYPERLINK("https://klasma.github.io/Logging_0136/klagomål/A 39651-2021 FSC-klagomål.docx", "A 39651-2021")</f>
        <v/>
      </c>
      <c r="AB23">
        <f>HYPERLINK("https://klasma.github.io/Logging_0136/klagomålsmail/A 39651-2021 FSC-klagomål mail.docx", "A 39651-2021")</f>
        <v/>
      </c>
      <c r="AC23">
        <f>HYPERLINK("https://klasma.github.io/Logging_0136/tillsyn/A 39651-2021 tillsynsbegäran.docx", "A 39651-2021")</f>
        <v/>
      </c>
      <c r="AD23">
        <f>HYPERLINK("https://klasma.github.io/Logging_0136/tillsynsmail/A 39651-2021 tillsynsbegäran mail.docx", "A 39651-2021")</f>
        <v/>
      </c>
    </row>
    <row r="24" ht="15" customHeight="1">
      <c r="A24" t="inlineStr">
        <is>
          <t>A 39636-2022</t>
        </is>
      </c>
      <c r="B24" t="inlineStr">
        <is>
          <t>avverkningsanmälan</t>
        </is>
      </c>
      <c r="C24" t="inlineStr">
        <is>
          <t>Föryngringsavverkning</t>
        </is>
      </c>
      <c r="D24" s="1" t="n">
        <v>44818</v>
      </c>
      <c r="E24" s="1" t="n">
        <v>46237</v>
      </c>
      <c r="F24" t="inlineStr">
        <is>
          <t>STOCKHOLMS LÄN</t>
        </is>
      </c>
      <c r="G24" t="inlineStr">
        <is>
          <t>HANINGE</t>
        </is>
      </c>
      <c r="I24" t="n">
        <v>2</v>
      </c>
      <c r="J24" t="n">
        <v>0</v>
      </c>
      <c r="K24" t="n">
        <v>0</v>
      </c>
      <c r="L24" t="n">
        <v>0</v>
      </c>
      <c r="M24" t="n">
        <v>0</v>
      </c>
      <c r="N24" t="n">
        <v>1</v>
      </c>
      <c r="O24" t="n">
        <v>0</v>
      </c>
      <c r="P24" t="n">
        <v>0</v>
      </c>
      <c r="Q24" t="n">
        <v>1</v>
      </c>
      <c r="R24" t="n">
        <v>1</v>
      </c>
      <c r="S24" t="n">
        <v>1</v>
      </c>
      <c r="T24" t="n">
        <v>1</v>
      </c>
      <c r="U24" t="n">
        <v>0</v>
      </c>
      <c r="V24" s="2" t="inlineStr">
        <is>
          <t>Koppartaggsvamp</t>
        </is>
      </c>
      <c r="W24">
        <f>HYPERLINK("https://klasma.github.io/Logging_0136/artfynd/A 39636-2022 artfynd.xlsx", "A 39636-2022")</f>
        <v/>
      </c>
      <c r="X24">
        <f>HYPERLINK("https://klasma.github.io/Logging_0136/kartor/A 39636-2022 karta.png", "A 39636-2022")</f>
        <v/>
      </c>
      <c r="Y24">
        <f>HYPERLINK("https://klasma.github.io/Logging_0136/kartor_geotiff/A 39636-2022 georefererad karta.tif", "A 39636-2022")</f>
        <v/>
      </c>
      <c r="AA24">
        <f>HYPERLINK("https://klasma.github.io/Logging_0136/klagomål/A 39636-2022 FSC-klagomål.docx", "A 39636-2022")</f>
        <v/>
      </c>
      <c r="AB24">
        <f>HYPERLINK("https://klasma.github.io/Logging_0136/klagomålsmail/A 39636-2022 FSC-klagomål mail.docx", "A 39636-2022")</f>
        <v/>
      </c>
      <c r="AC24">
        <f>HYPERLINK("https://klasma.github.io/Logging_0136/tillsyn/A 39636-2022 tillsynsbegäran.docx", "A 39636-2022")</f>
        <v/>
      </c>
      <c r="AD24">
        <f>HYPERLINK("https://klasma.github.io/Logging_0136/tillsynsmail/A 39636-2022 tillsynsbegäran mail.docx", "A 39636-2022")</f>
        <v/>
      </c>
    </row>
    <row r="25" ht="15" customHeight="1">
      <c r="A25" t="inlineStr">
        <is>
          <t>A 2722-2022</t>
        </is>
      </c>
      <c r="B25" t="inlineStr">
        <is>
          <t>avverkningsanmälan</t>
        </is>
      </c>
      <c r="C25" t="inlineStr">
        <is>
          <t>Föryngringsavverkning</t>
        </is>
      </c>
      <c r="D25" s="1" t="n">
        <v>44580</v>
      </c>
      <c r="E25" s="1" t="n">
        <v>46237</v>
      </c>
      <c r="F25" t="inlineStr">
        <is>
          <t>STOCKHOLMS LÄN</t>
        </is>
      </c>
      <c r="G25" t="inlineStr">
        <is>
          <t>HANINGE</t>
        </is>
      </c>
      <c r="I25" t="n">
        <v>1.5</v>
      </c>
      <c r="J25" t="n">
        <v>1</v>
      </c>
      <c r="K25" t="n">
        <v>1</v>
      </c>
      <c r="L25" t="n">
        <v>0</v>
      </c>
      <c r="M25" t="n">
        <v>0</v>
      </c>
      <c r="N25" t="n">
        <v>0</v>
      </c>
      <c r="O25" t="n">
        <v>0</v>
      </c>
      <c r="P25" t="n">
        <v>0</v>
      </c>
      <c r="Q25" t="n">
        <v>0</v>
      </c>
      <c r="R25" t="n">
        <v>0</v>
      </c>
      <c r="S25" t="n">
        <v>1</v>
      </c>
      <c r="T25" t="n">
        <v>2</v>
      </c>
      <c r="U25" t="n">
        <v>2</v>
      </c>
      <c r="V25" s="2" t="inlineStr">
        <is>
          <t>Grön sköldmossa</t>
        </is>
      </c>
      <c r="W25">
        <f>HYPERLINK("https://klasma.github.io/Logging_0136/artfynd/A 2722-2022 artfynd.xlsx", "A 2722-2022")</f>
        <v/>
      </c>
      <c r="X25">
        <f>HYPERLINK("https://klasma.github.io/Logging_0136/kartor/A 2722-2022 karta.png", "A 2722-2022")</f>
        <v/>
      </c>
      <c r="Y25">
        <f>HYPERLINK("https://klasma.github.io/Logging_0136/kartor_geotiff/A 2722-2022 georefererad karta.tif", "A 2722-2022")</f>
        <v/>
      </c>
      <c r="AA25">
        <f>HYPERLINK("https://klasma.github.io/Logging_0136/klagomål/A 2722-2022 FSC-klagomål.docx", "A 2722-2022")</f>
        <v/>
      </c>
      <c r="AB25">
        <f>HYPERLINK("https://klasma.github.io/Logging_0136/klagomålsmail/A 2722-2022 FSC-klagomål mail.docx", "A 2722-2022")</f>
        <v/>
      </c>
      <c r="AC25">
        <f>HYPERLINK("https://klasma.github.io/Logging_0136/tillsyn/A 2722-2022 tillsynsbegäran.docx", "A 2722-2022")</f>
        <v/>
      </c>
      <c r="AD25">
        <f>HYPERLINK("https://klasma.github.io/Logging_0136/tillsynsmail/A 2722-2022 tillsynsbegäran mail.docx", "A 2722-2022")</f>
        <v/>
      </c>
    </row>
    <row r="26" ht="15" customHeight="1">
      <c r="A26" t="inlineStr">
        <is>
          <t>A 60369-2023</t>
        </is>
      </c>
      <c r="B26" t="inlineStr">
        <is>
          <t>avverkningsanmälan</t>
        </is>
      </c>
      <c r="C26" t="inlineStr">
        <is>
          <t>Föryngringsavverkning</t>
        </is>
      </c>
      <c r="D26" s="1" t="n">
        <v>45259</v>
      </c>
      <c r="E26" s="1" t="n">
        <v>46237</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37004-2022</t>
        </is>
      </c>
      <c r="B27" t="inlineStr">
        <is>
          <t>avverkningsanmälan</t>
        </is>
      </c>
      <c r="C27" t="inlineStr">
        <is>
          <t>Föryngringsavverkning</t>
        </is>
      </c>
      <c r="D27" s="1" t="n">
        <v>44806</v>
      </c>
      <c r="E27" s="1" t="n">
        <v>46237</v>
      </c>
      <c r="F27" t="inlineStr">
        <is>
          <t>STOCKHOLMS LÄN</t>
        </is>
      </c>
      <c r="G27" t="inlineStr">
        <is>
          <t>HANINGE</t>
        </is>
      </c>
      <c r="H27" t="inlineStr">
        <is>
          <t>Övriga statliga verk och myndigheter</t>
        </is>
      </c>
      <c r="I27" t="n">
        <v>4.4</v>
      </c>
      <c r="J27" t="n">
        <v>1</v>
      </c>
      <c r="K27" t="n">
        <v>1</v>
      </c>
      <c r="L27" t="n">
        <v>0</v>
      </c>
      <c r="M27" t="n">
        <v>0</v>
      </c>
      <c r="N27" t="n">
        <v>0</v>
      </c>
      <c r="O27" t="n">
        <v>0</v>
      </c>
      <c r="P27" t="n">
        <v>0</v>
      </c>
      <c r="Q27" t="n">
        <v>0</v>
      </c>
      <c r="R27" t="n">
        <v>0</v>
      </c>
      <c r="S27" t="n">
        <v>1</v>
      </c>
      <c r="T27" t="n">
        <v>1</v>
      </c>
      <c r="U27" t="n">
        <v>1</v>
      </c>
      <c r="V27" s="2" t="inlineStr">
        <is>
          <t>Skogsknipprot</t>
        </is>
      </c>
      <c r="W27">
        <f>HYPERLINK("https://klasma.github.io/Logging_0136/artfynd/A 37004-2022 artfynd.xlsx", "A 37004-2022")</f>
        <v/>
      </c>
      <c r="X27">
        <f>HYPERLINK("https://klasma.github.io/Logging_0136/kartor/A 37004-2022 karta.png", "A 37004-2022")</f>
        <v/>
      </c>
      <c r="Y27">
        <f>HYPERLINK("https://klasma.github.io/Logging_0136/kartor_geotiff/A 37004-2022 georefererad karta.tif", "A 37004-2022")</f>
        <v/>
      </c>
      <c r="AA27">
        <f>HYPERLINK("https://klasma.github.io/Logging_0136/klagomål/A 37004-2022 FSC-klagomål.docx", "A 37004-2022")</f>
        <v/>
      </c>
      <c r="AB27">
        <f>HYPERLINK("https://klasma.github.io/Logging_0136/klagomålsmail/A 37004-2022 FSC-klagomål mail.docx", "A 37004-2022")</f>
        <v/>
      </c>
      <c r="AC27">
        <f>HYPERLINK("https://klasma.github.io/Logging_0136/tillsyn/A 37004-2022 tillsynsbegäran.docx", "A 37004-2022")</f>
        <v/>
      </c>
      <c r="AD27">
        <f>HYPERLINK("https://klasma.github.io/Logging_0136/tillsynsmail/A 37004-2022 tillsynsbegäran mail.docx", "A 37004-2022")</f>
        <v/>
      </c>
    </row>
    <row r="28" ht="15" customHeight="1">
      <c r="A28" t="inlineStr">
        <is>
          <t>A 6648-2023</t>
        </is>
      </c>
      <c r="B28" t="inlineStr">
        <is>
          <t>avverkningsanmälan</t>
        </is>
      </c>
      <c r="C28" t="inlineStr">
        <is>
          <t>Föryngringsavverkning</t>
        </is>
      </c>
      <c r="D28" s="1" t="n">
        <v>44966</v>
      </c>
      <c r="E28" s="1" t="n">
        <v>46237</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59570-2025</t>
        </is>
      </c>
      <c r="B29" t="inlineStr">
        <is>
          <t>avverkningsanmälan</t>
        </is>
      </c>
      <c r="C29" t="inlineStr">
        <is>
          <t>Föryngringsavverkning</t>
        </is>
      </c>
      <c r="D29" s="1" t="n">
        <v>45991</v>
      </c>
      <c r="E29" s="1" t="n">
        <v>46237</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34823-2022</t>
        </is>
      </c>
      <c r="B30" t="inlineStr">
        <is>
          <t>avverkningsanmälan</t>
        </is>
      </c>
      <c r="C30" t="inlineStr">
        <is>
          <t>Föryngringsavverkning</t>
        </is>
      </c>
      <c r="D30" s="1" t="n">
        <v>44796</v>
      </c>
      <c r="E30" s="1" t="n">
        <v>46237</v>
      </c>
      <c r="F30" t="inlineStr">
        <is>
          <t>STOCKHOLMS LÄN</t>
        </is>
      </c>
      <c r="G30" t="inlineStr">
        <is>
          <t>HANINGE</t>
        </is>
      </c>
      <c r="I30" t="n">
        <v>12</v>
      </c>
      <c r="J30" t="n">
        <v>0</v>
      </c>
      <c r="K30" t="n">
        <v>0</v>
      </c>
      <c r="L30" t="n">
        <v>0</v>
      </c>
      <c r="M30" t="n">
        <v>1</v>
      </c>
      <c r="N30" t="n">
        <v>0</v>
      </c>
      <c r="O30" t="n">
        <v>0</v>
      </c>
      <c r="P30" t="n">
        <v>0</v>
      </c>
      <c r="Q30" t="n">
        <v>1</v>
      </c>
      <c r="R30" t="n">
        <v>1</v>
      </c>
      <c r="S30" t="n">
        <v>1</v>
      </c>
      <c r="T30" t="n">
        <v>1</v>
      </c>
      <c r="U30" t="n">
        <v>0</v>
      </c>
      <c r="V30" s="2" t="inlineStr">
        <is>
          <t>Mörk kraterlav</t>
        </is>
      </c>
      <c r="W30">
        <f>HYPERLINK("https://klasma.github.io/Logging_0136/artfynd/A 34823-2022 artfynd.xlsx", "A 34823-2022")</f>
        <v/>
      </c>
      <c r="X30">
        <f>HYPERLINK("https://klasma.github.io/Logging_0136/kartor/A 34823-2022 karta.png", "A 34823-2022")</f>
        <v/>
      </c>
      <c r="Y30">
        <f>HYPERLINK("https://klasma.github.io/Logging_0136/kartor_geotiff/A 34823-2022 georefererad karta.tif", "A 34823-2022")</f>
        <v/>
      </c>
      <c r="AA30">
        <f>HYPERLINK("https://klasma.github.io/Logging_0136/klagomål/A 34823-2022 FSC-klagomål.docx", "A 34823-2022")</f>
        <v/>
      </c>
      <c r="AB30">
        <f>HYPERLINK("https://klasma.github.io/Logging_0136/klagomålsmail/A 34823-2022 FSC-klagomål mail.docx", "A 34823-2022")</f>
        <v/>
      </c>
      <c r="AC30">
        <f>HYPERLINK("https://klasma.github.io/Logging_0136/tillsyn/A 34823-2022 tillsynsbegäran.docx", "A 34823-2022")</f>
        <v/>
      </c>
      <c r="AD30">
        <f>HYPERLINK("https://klasma.github.io/Logging_0136/tillsynsmail/A 34823-2022 tillsynsbegäran mail.docx", "A 34823-2022")</f>
        <v/>
      </c>
    </row>
    <row r="31" ht="15" customHeight="1">
      <c r="A31" t="inlineStr">
        <is>
          <t>A 41259-2022</t>
        </is>
      </c>
      <c r="B31" t="inlineStr">
        <is>
          <t>avverkningsanmälan</t>
        </is>
      </c>
      <c r="C31" t="inlineStr">
        <is>
          <t>Föryngringsavverkning</t>
        </is>
      </c>
      <c r="D31" s="1" t="n">
        <v>44825</v>
      </c>
      <c r="E31" s="1" t="n">
        <v>46237</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46237</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46237</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46237</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46237</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46237</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46237</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46237</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46237</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46237</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46237</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46237</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46237</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41809-2021</t>
        </is>
      </c>
      <c r="B44" t="inlineStr">
        <is>
          <t>avverkningsanmälan</t>
        </is>
      </c>
      <c r="C44" t="inlineStr">
        <is>
          <t>Föryngringsavverkning</t>
        </is>
      </c>
      <c r="D44" s="1" t="n">
        <v>44425</v>
      </c>
      <c r="E44" s="1" t="n">
        <v>46237</v>
      </c>
      <c r="F44" t="inlineStr">
        <is>
          <t>STOCKHOLMS LÄN</t>
        </is>
      </c>
      <c r="G44" t="inlineStr">
        <is>
          <t>HANINGE</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37000-2022</t>
        </is>
      </c>
      <c r="B45" t="inlineStr">
        <is>
          <t>avverkningsanmälan</t>
        </is>
      </c>
      <c r="C45" t="inlineStr">
        <is>
          <t>Föryngringsavverkning</t>
        </is>
      </c>
      <c r="D45" s="1" t="n">
        <v>44806</v>
      </c>
      <c r="E45" s="1" t="n">
        <v>46237</v>
      </c>
      <c r="F45" t="inlineStr">
        <is>
          <t>STOCKHOLMS LÄN</t>
        </is>
      </c>
      <c r="G45" t="inlineStr">
        <is>
          <t>HANINGE</t>
        </is>
      </c>
      <c r="H45" t="inlineStr">
        <is>
          <t>Övriga statliga verk och myndigheter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68896-2021</t>
        </is>
      </c>
      <c r="B46" t="inlineStr">
        <is>
          <t>avverkningsanmälan</t>
        </is>
      </c>
      <c r="C46" t="inlineStr">
        <is>
          <t>Föryngringsavverkning</t>
        </is>
      </c>
      <c r="D46" s="1" t="n">
        <v>44526</v>
      </c>
      <c r="E46" s="1" t="n">
        <v>46237</v>
      </c>
      <c r="F46" t="inlineStr">
        <is>
          <t>STOCKHOLMS LÄN</t>
        </is>
      </c>
      <c r="G46" t="inlineStr">
        <is>
          <t>HANINGE</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68894-2021</t>
        </is>
      </c>
      <c r="B47" t="inlineStr">
        <is>
          <t>avverkningsanmälan</t>
        </is>
      </c>
      <c r="C47" t="inlineStr">
        <is>
          <t>Föryngringsavverkning</t>
        </is>
      </c>
      <c r="D47" s="1" t="n">
        <v>44526</v>
      </c>
      <c r="E47" s="1" t="n">
        <v>46237</v>
      </c>
      <c r="F47" t="inlineStr">
        <is>
          <t>STOCKHOLMS LÄN</t>
        </is>
      </c>
      <c r="G47" t="inlineStr">
        <is>
          <t>HANINGE</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3156-2025</t>
        </is>
      </c>
      <c r="B48" t="inlineStr">
        <is>
          <t>avverkningsanmälan</t>
        </is>
      </c>
      <c r="C48" t="inlineStr">
        <is>
          <t>Föryngringsavverkning</t>
        </is>
      </c>
      <c r="D48" s="1" t="n">
        <v>45679</v>
      </c>
      <c r="E48" s="1" t="n">
        <v>46237</v>
      </c>
      <c r="F48" t="inlineStr">
        <is>
          <t>STOCKHOLMS LÄN</t>
        </is>
      </c>
      <c r="G48" t="inlineStr">
        <is>
          <t>HANINGE</t>
        </is>
      </c>
      <c r="I48" t="n">
        <v>3.3</v>
      </c>
      <c r="J48" t="n">
        <v>0</v>
      </c>
      <c r="K48" t="n">
        <v>0</v>
      </c>
      <c r="L48" t="n">
        <v>0</v>
      </c>
      <c r="M48" t="n">
        <v>0</v>
      </c>
      <c r="N48" t="n">
        <v>0</v>
      </c>
      <c r="O48" t="n">
        <v>0</v>
      </c>
      <c r="P48" t="n">
        <v>0</v>
      </c>
      <c r="Q48" t="n">
        <v>0</v>
      </c>
      <c r="R48" t="n">
        <v>0</v>
      </c>
      <c r="S48" t="n">
        <v>0</v>
      </c>
      <c r="T48" t="n">
        <v>0</v>
      </c>
      <c r="U48" t="n">
        <v>0</v>
      </c>
      <c r="V48" s="2" t="inlineStr"/>
    </row>
    <row r="49" ht="15" customHeight="1">
      <c r="A49" t="inlineStr">
        <is>
          <t>A 18491-2025</t>
        </is>
      </c>
      <c r="B49" t="inlineStr">
        <is>
          <t>avverkningsanmälan</t>
        </is>
      </c>
      <c r="C49" t="inlineStr">
        <is>
          <t>Föryngringsavverkning</t>
        </is>
      </c>
      <c r="D49" s="1" t="n">
        <v>45763</v>
      </c>
      <c r="E49" s="1" t="n">
        <v>46237</v>
      </c>
      <c r="F49" t="inlineStr">
        <is>
          <t>STOCKHOLMS LÄN</t>
        </is>
      </c>
      <c r="G49" t="inlineStr">
        <is>
          <t>HANINGE</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46237</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32948-2025</t>
        </is>
      </c>
      <c r="B51" t="inlineStr">
        <is>
          <t>avverkningsanmälan</t>
        </is>
      </c>
      <c r="C51" t="inlineStr">
        <is>
          <t>Föryngringsavverkning</t>
        </is>
      </c>
      <c r="D51" s="1" t="n">
        <v>45839</v>
      </c>
      <c r="E51" s="1" t="n">
        <v>46237</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58599-2023</t>
        </is>
      </c>
      <c r="B52" t="inlineStr">
        <is>
          <t>avverkningsanmälan</t>
        </is>
      </c>
      <c r="C52" t="inlineStr">
        <is>
          <t>Föryngringsavverkning</t>
        </is>
      </c>
      <c r="D52" s="1" t="n">
        <v>45251</v>
      </c>
      <c r="E52" s="1" t="n">
        <v>46237</v>
      </c>
      <c r="F52" t="inlineStr">
        <is>
          <t>STOCKHOLMS LÄN</t>
        </is>
      </c>
      <c r="G52" t="inlineStr">
        <is>
          <t>HANINGE</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18528-2024</t>
        </is>
      </c>
      <c r="B53" t="inlineStr">
        <is>
          <t>avverkningsanmälan</t>
        </is>
      </c>
      <c r="C53" t="inlineStr">
        <is>
          <t>Föryngringsavverkning</t>
        </is>
      </c>
      <c r="D53" s="1" t="n">
        <v>45425</v>
      </c>
      <c r="E53" s="1" t="n">
        <v>46237</v>
      </c>
      <c r="F53" t="inlineStr">
        <is>
          <t>STOCKHOLMS LÄN</t>
        </is>
      </c>
      <c r="G53" t="inlineStr">
        <is>
          <t>HANINGE</t>
        </is>
      </c>
      <c r="H53" t="inlineStr">
        <is>
          <t>Kommuner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13046-2022</t>
        </is>
      </c>
      <c r="B54" t="inlineStr">
        <is>
          <t>avverkningsanmälan</t>
        </is>
      </c>
      <c r="C54" t="inlineStr">
        <is>
          <t>Föryngringsavverkning</t>
        </is>
      </c>
      <c r="D54" s="1" t="n">
        <v>44643</v>
      </c>
      <c r="E54" s="1" t="n">
        <v>46237</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46237</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8078-2024</t>
        </is>
      </c>
      <c r="B56" t="inlineStr">
        <is>
          <t>avverkningsanmälan</t>
        </is>
      </c>
      <c r="C56" t="inlineStr">
        <is>
          <t>Föryngringsavverkning</t>
        </is>
      </c>
      <c r="D56" s="1" t="n">
        <v>45351</v>
      </c>
      <c r="E56" s="1" t="n">
        <v>46237</v>
      </c>
      <c r="F56" t="inlineStr">
        <is>
          <t>STOCKHOLMS LÄN</t>
        </is>
      </c>
      <c r="G56" t="inlineStr">
        <is>
          <t>HANINGE</t>
        </is>
      </c>
      <c r="H56" t="inlineStr">
        <is>
          <t>Kommuner</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50306-2023</t>
        </is>
      </c>
      <c r="B57" t="inlineStr">
        <is>
          <t>avverkningsanmälan</t>
        </is>
      </c>
      <c r="C57" t="inlineStr">
        <is>
          <t>Föryngringsavverkning</t>
        </is>
      </c>
      <c r="D57" s="1" t="n">
        <v>45209</v>
      </c>
      <c r="E57" s="1" t="n">
        <v>46237</v>
      </c>
      <c r="F57" t="inlineStr">
        <is>
          <t>STOCKHOLMS LÄN</t>
        </is>
      </c>
      <c r="G57" t="inlineStr">
        <is>
          <t>HANINGE</t>
        </is>
      </c>
      <c r="I57" t="n">
        <v>2.3</v>
      </c>
      <c r="J57" t="n">
        <v>0</v>
      </c>
      <c r="K57" t="n">
        <v>0</v>
      </c>
      <c r="L57" t="n">
        <v>0</v>
      </c>
      <c r="M57" t="n">
        <v>0</v>
      </c>
      <c r="N57" t="n">
        <v>0</v>
      </c>
      <c r="O57" t="n">
        <v>0</v>
      </c>
      <c r="P57" t="n">
        <v>0</v>
      </c>
      <c r="Q57" t="n">
        <v>0</v>
      </c>
      <c r="R57" t="n">
        <v>0</v>
      </c>
      <c r="S57" t="n">
        <v>0</v>
      </c>
      <c r="T57" t="n">
        <v>0</v>
      </c>
      <c r="U57" t="n">
        <v>0</v>
      </c>
      <c r="V57" s="2" t="inlineStr"/>
      <c r="Z57">
        <f>HYPERLINK("https://klasma.github.io/Logging_0136/knärot/A 50306-2023 karta knärot.png", "A 50306-2023")</f>
        <v/>
      </c>
      <c r="AA57">
        <f>HYPERLINK("https://klasma.github.io/Logging_0136/klagomål/A 50306-2023 FSC-klagomål.docx", "A 50306-2023")</f>
        <v/>
      </c>
      <c r="AB57">
        <f>HYPERLINK("https://klasma.github.io/Logging_0136/klagomålsmail/A 50306-2023 FSC-klagomål mail.docx", "A 50306-2023")</f>
        <v/>
      </c>
      <c r="AC57">
        <f>HYPERLINK("https://klasma.github.io/Logging_0136/tillsyn/A 50306-2023 tillsynsbegäran.docx", "A 50306-2023")</f>
        <v/>
      </c>
      <c r="AD57">
        <f>HYPERLINK("https://klasma.github.io/Logging_0136/tillsynsmail/A 50306-2023 tillsynsbegäran mail.docx", "A 50306-2023")</f>
        <v/>
      </c>
    </row>
    <row r="58" ht="15" customHeight="1">
      <c r="A58" t="inlineStr">
        <is>
          <t>A 22288-2023</t>
        </is>
      </c>
      <c r="B58" t="inlineStr">
        <is>
          <t>avverkningsanmälan</t>
        </is>
      </c>
      <c r="C58" t="inlineStr">
        <is>
          <t>Föryngringsavverkning</t>
        </is>
      </c>
      <c r="D58" s="1" t="n">
        <v>45070</v>
      </c>
      <c r="E58" s="1" t="n">
        <v>46237</v>
      </c>
      <c r="F58" t="inlineStr">
        <is>
          <t>STOCKHOLMS LÄN</t>
        </is>
      </c>
      <c r="G58" t="inlineStr">
        <is>
          <t>HANINGE</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33792-2023</t>
        </is>
      </c>
      <c r="B59" t="inlineStr">
        <is>
          <t>avverkningsanmälan</t>
        </is>
      </c>
      <c r="C59" t="inlineStr">
        <is>
          <t>Föryngringsavverkning</t>
        </is>
      </c>
      <c r="D59" s="1" t="n">
        <v>45121</v>
      </c>
      <c r="E59" s="1" t="n">
        <v>46237</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59569-2025</t>
        </is>
      </c>
      <c r="B60" t="inlineStr">
        <is>
          <t>avverkningsanmälan</t>
        </is>
      </c>
      <c r="C60" t="inlineStr">
        <is>
          <t>Föryngringsavverkning</t>
        </is>
      </c>
      <c r="D60" s="1" t="n">
        <v>45991</v>
      </c>
      <c r="E60" s="1" t="n">
        <v>46237</v>
      </c>
      <c r="F60" t="inlineStr">
        <is>
          <t>STOCKHOLMS LÄN</t>
        </is>
      </c>
      <c r="G60" t="inlineStr">
        <is>
          <t>HANINGE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24873-2023</t>
        </is>
      </c>
      <c r="B61" t="inlineStr">
        <is>
          <t>avverkningsanmälan</t>
        </is>
      </c>
      <c r="C61" t="inlineStr">
        <is>
          <t>Föryngringsavverkning</t>
        </is>
      </c>
      <c r="D61" s="1" t="n">
        <v>45085</v>
      </c>
      <c r="E61" s="1" t="n">
        <v>46237</v>
      </c>
      <c r="F61" t="inlineStr">
        <is>
          <t>STOCKHOLMS LÄN</t>
        </is>
      </c>
      <c r="G61" t="inlineStr">
        <is>
          <t>HANINGE</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23666-2024</t>
        </is>
      </c>
      <c r="B62" t="inlineStr">
        <is>
          <t>avverkningsanmälan</t>
        </is>
      </c>
      <c r="C62" t="inlineStr">
        <is>
          <t>Föryngringsavverkning</t>
        </is>
      </c>
      <c r="D62" s="1" t="n">
        <v>45454</v>
      </c>
      <c r="E62" s="1" t="n">
        <v>46237</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20839-2024</t>
        </is>
      </c>
      <c r="B63" t="inlineStr">
        <is>
          <t>avverkningsanmälan</t>
        </is>
      </c>
      <c r="C63" t="inlineStr">
        <is>
          <t>Föryngringsavverkning</t>
        </is>
      </c>
      <c r="D63" s="1" t="n">
        <v>45439</v>
      </c>
      <c r="E63" s="1" t="n">
        <v>46237</v>
      </c>
      <c r="F63" t="inlineStr">
        <is>
          <t>STOCKHOLMS LÄN</t>
        </is>
      </c>
      <c r="G63" t="inlineStr">
        <is>
          <t>HANINGE</t>
        </is>
      </c>
      <c r="I63" t="n">
        <v>8.4</v>
      </c>
      <c r="J63" t="n">
        <v>0</v>
      </c>
      <c r="K63" t="n">
        <v>0</v>
      </c>
      <c r="L63" t="n">
        <v>0</v>
      </c>
      <c r="M63" t="n">
        <v>0</v>
      </c>
      <c r="N63" t="n">
        <v>0</v>
      </c>
      <c r="O63" t="n">
        <v>0</v>
      </c>
      <c r="P63" t="n">
        <v>0</v>
      </c>
      <c r="Q63" t="n">
        <v>0</v>
      </c>
      <c r="R63" t="n">
        <v>0</v>
      </c>
      <c r="S63" t="n">
        <v>0</v>
      </c>
      <c r="T63" t="n">
        <v>0</v>
      </c>
      <c r="U63" t="n">
        <v>0</v>
      </c>
      <c r="V63" s="2" t="inlineStr"/>
    </row>
    <row r="64" ht="15" customHeight="1">
      <c r="A64" t="inlineStr">
        <is>
          <t>A 9946-2024</t>
        </is>
      </c>
      <c r="B64" t="inlineStr">
        <is>
          <t>avverkningsanmälan</t>
        </is>
      </c>
      <c r="C64" t="inlineStr">
        <is>
          <t>Föryngringsavverkning</t>
        </is>
      </c>
      <c r="D64" s="1" t="n">
        <v>45363</v>
      </c>
      <c r="E64" s="1" t="n">
        <v>46237</v>
      </c>
      <c r="F64" t="inlineStr">
        <is>
          <t>STOCKHOLMS LÄN</t>
        </is>
      </c>
      <c r="G64" t="inlineStr">
        <is>
          <t>HANINGE</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24800-2026</t>
        </is>
      </c>
      <c r="B65" t="inlineStr">
        <is>
          <t>avverkningsanmälan</t>
        </is>
      </c>
      <c r="C65" t="inlineStr">
        <is>
          <t>Föryngringsavverkning</t>
        </is>
      </c>
      <c r="D65" s="1" t="n">
        <v>46171</v>
      </c>
      <c r="E65" s="1" t="n">
        <v>46237</v>
      </c>
      <c r="F65" t="inlineStr">
        <is>
          <t>STOCKHOLMS LÄN</t>
        </is>
      </c>
      <c r="G65" t="inlineStr">
        <is>
          <t>HANINGE</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18512-2024</t>
        </is>
      </c>
      <c r="B66" t="inlineStr">
        <is>
          <t>avverkningsanmälan</t>
        </is>
      </c>
      <c r="C66" t="inlineStr">
        <is>
          <t>Föryngringsavverkning</t>
        </is>
      </c>
      <c r="D66" s="1" t="n">
        <v>45425</v>
      </c>
      <c r="E66" s="1" t="n">
        <v>46237</v>
      </c>
      <c r="F66" t="inlineStr">
        <is>
          <t>STOCKHOLMS LÄN</t>
        </is>
      </c>
      <c r="G66" t="inlineStr">
        <is>
          <t>HANINGE</t>
        </is>
      </c>
      <c r="H66" t="inlineStr">
        <is>
          <t>Kommuner</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4297-2024</t>
        </is>
      </c>
      <c r="B67" t="inlineStr">
        <is>
          <t>avverkningsanmälan</t>
        </is>
      </c>
      <c r="C67" t="inlineStr">
        <is>
          <t>Föryngringsavverkning</t>
        </is>
      </c>
      <c r="D67" s="1" t="n">
        <v>45324</v>
      </c>
      <c r="E67" s="1" t="n">
        <v>46237</v>
      </c>
      <c r="F67" t="inlineStr">
        <is>
          <t>STOCKHOLMS LÄN</t>
        </is>
      </c>
      <c r="G67" t="inlineStr">
        <is>
          <t>HANINGE</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26417-2026</t>
        </is>
      </c>
      <c r="B68" t="inlineStr">
        <is>
          <t>avverkningsanmälan</t>
        </is>
      </c>
      <c r="C68" t="inlineStr">
        <is>
          <t>Föryngringsavverkning</t>
        </is>
      </c>
      <c r="D68" s="1" t="n">
        <v>46183</v>
      </c>
      <c r="E68" s="1" t="n">
        <v>46237</v>
      </c>
      <c r="F68" t="inlineStr">
        <is>
          <t>STOCKHOLMS LÄN</t>
        </is>
      </c>
      <c r="G68" t="inlineStr">
        <is>
          <t>HANINGE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17765-2024</t>
        </is>
      </c>
      <c r="B69" t="inlineStr">
        <is>
          <t>avverkningsanmälan</t>
        </is>
      </c>
      <c r="C69" t="inlineStr">
        <is>
          <t>Föryngringsavverkning</t>
        </is>
      </c>
      <c r="D69" s="1" t="n">
        <v>45418</v>
      </c>
      <c r="E69" s="1" t="n">
        <v>46237</v>
      </c>
      <c r="F69" t="inlineStr">
        <is>
          <t>STOCKHOLMS LÄN</t>
        </is>
      </c>
      <c r="G69" t="inlineStr">
        <is>
          <t>HANINGE</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26886-2026</t>
        </is>
      </c>
      <c r="B70" t="inlineStr">
        <is>
          <t>avverkningsanmälan</t>
        </is>
      </c>
      <c r="C70" t="inlineStr">
        <is>
          <t>Avverkning för annat ändamål</t>
        </is>
      </c>
      <c r="D70" s="1" t="n">
        <v>46185</v>
      </c>
      <c r="E70" s="1" t="n">
        <v>46237</v>
      </c>
      <c r="F70" t="inlineStr">
        <is>
          <t>STOCKHOLMS LÄN</t>
        </is>
      </c>
      <c r="G70" t="inlineStr">
        <is>
          <t>HANINGE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25584-2023</t>
        </is>
      </c>
      <c r="B71" t="inlineStr">
        <is>
          <t>avverkningsanmälan</t>
        </is>
      </c>
      <c r="C71" t="inlineStr">
        <is>
          <t>Föryngringsavverkning</t>
        </is>
      </c>
      <c r="D71" s="1" t="n">
        <v>45089</v>
      </c>
      <c r="E71" s="1" t="n">
        <v>46237</v>
      </c>
      <c r="F71" t="inlineStr">
        <is>
          <t>STOCKHOLMS LÄN</t>
        </is>
      </c>
      <c r="G71" t="inlineStr">
        <is>
          <t>HANINGE</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52836-2024</t>
        </is>
      </c>
      <c r="B72" t="inlineStr">
        <is>
          <t>avverkningsanmälan</t>
        </is>
      </c>
      <c r="C72" t="inlineStr">
        <is>
          <t>Föryngringsavverkning</t>
        </is>
      </c>
      <c r="D72" s="1" t="n">
        <v>45610</v>
      </c>
      <c r="E72" s="1" t="n">
        <v>46237</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12787-2026</t>
        </is>
      </c>
      <c r="B73" t="inlineStr">
        <is>
          <t>avverkningsanmälan</t>
        </is>
      </c>
      <c r="C73" t="inlineStr">
        <is>
          <t>Föryngringsavverkning</t>
        </is>
      </c>
      <c r="D73" s="1" t="n">
        <v>46091</v>
      </c>
      <c r="E73" s="1" t="n">
        <v>46237</v>
      </c>
      <c r="F73" t="inlineStr">
        <is>
          <t>STOCKHOLMS LÄN</t>
        </is>
      </c>
      <c r="G73" t="inlineStr">
        <is>
          <t>HANINGE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5474-2024</t>
        </is>
      </c>
      <c r="B74" t="inlineStr">
        <is>
          <t>avverkningsanmälan</t>
        </is>
      </c>
      <c r="C74" t="inlineStr">
        <is>
          <t>Föryngringsavverkning</t>
        </is>
      </c>
      <c r="D74" s="1" t="n">
        <v>45333</v>
      </c>
      <c r="E74" s="1" t="n">
        <v>46237</v>
      </c>
      <c r="F74" t="inlineStr">
        <is>
          <t>STOCKHOLMS LÄN</t>
        </is>
      </c>
      <c r="G74" t="inlineStr">
        <is>
          <t>HANINGE</t>
        </is>
      </c>
      <c r="H74" t="inlineStr">
        <is>
          <t>Kommuner</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20527-2025</t>
        </is>
      </c>
      <c r="B75" t="inlineStr">
        <is>
          <t>avverkningsanmälan</t>
        </is>
      </c>
      <c r="C75" t="inlineStr">
        <is>
          <t>Föryngringsavverkning</t>
        </is>
      </c>
      <c r="D75" s="1" t="n">
        <v>45775</v>
      </c>
      <c r="E75" s="1" t="n">
        <v>46237</v>
      </c>
      <c r="F75" t="inlineStr">
        <is>
          <t>STOCKHOLMS LÄN</t>
        </is>
      </c>
      <c r="G75" t="inlineStr">
        <is>
          <t>HANINGE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14900-2025</t>
        </is>
      </c>
      <c r="B76" t="inlineStr">
        <is>
          <t>avverkningsanmälan</t>
        </is>
      </c>
      <c r="C76" t="inlineStr">
        <is>
          <t>Föryngringsavverkning</t>
        </is>
      </c>
      <c r="D76" s="1" t="n">
        <v>45743</v>
      </c>
      <c r="E76" s="1" t="n">
        <v>46237</v>
      </c>
      <c r="F76" t="inlineStr">
        <is>
          <t>STOCKHOLMS LÄN</t>
        </is>
      </c>
      <c r="G76" t="inlineStr">
        <is>
          <t>HANINGE</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1180-2024</t>
        </is>
      </c>
      <c r="B77" t="inlineStr">
        <is>
          <t>avverkningsanmälan</t>
        </is>
      </c>
      <c r="C77" t="inlineStr">
        <is>
          <t>Föryngringsavverkning</t>
        </is>
      </c>
      <c r="D77" s="1" t="n">
        <v>45302</v>
      </c>
      <c r="E77" s="1" t="n">
        <v>46237</v>
      </c>
      <c r="F77" t="inlineStr">
        <is>
          <t>STOCKHOLMS LÄN</t>
        </is>
      </c>
      <c r="G77" t="inlineStr">
        <is>
          <t>HANINGE</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19220-2023</t>
        </is>
      </c>
      <c r="B78" t="inlineStr">
        <is>
          <t>avverkningsanmälan</t>
        </is>
      </c>
      <c r="C78" t="inlineStr">
        <is>
          <t>Föryngringsavverkning</t>
        </is>
      </c>
      <c r="D78" s="1" t="n">
        <v>45048</v>
      </c>
      <c r="E78" s="1" t="n">
        <v>46237</v>
      </c>
      <c r="F78" t="inlineStr">
        <is>
          <t>STOCKHOLMS LÄN</t>
        </is>
      </c>
      <c r="G78" t="inlineStr">
        <is>
          <t>HANINGE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18490-2025</t>
        </is>
      </c>
      <c r="B79" t="inlineStr">
        <is>
          <t>avverkningsanmälan</t>
        </is>
      </c>
      <c r="C79" t="inlineStr">
        <is>
          <t>Föryngringsavverkning</t>
        </is>
      </c>
      <c r="D79" s="1" t="n">
        <v>45763</v>
      </c>
      <c r="E79" s="1" t="n">
        <v>46237</v>
      </c>
      <c r="F79" t="inlineStr">
        <is>
          <t>STOCKHOLMS LÄN</t>
        </is>
      </c>
      <c r="G79" t="inlineStr">
        <is>
          <t>HANINGE</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64568-2023</t>
        </is>
      </c>
      <c r="B80" t="inlineStr">
        <is>
          <t>avverkningsanmälan</t>
        </is>
      </c>
      <c r="C80" t="inlineStr">
        <is>
          <t>Föryngringsavverkning</t>
        </is>
      </c>
      <c r="D80" s="1" t="n">
        <v>45281</v>
      </c>
      <c r="E80" s="1" t="n">
        <v>46237</v>
      </c>
      <c r="F80" t="inlineStr">
        <is>
          <t>STOCKHOLMS LÄN</t>
        </is>
      </c>
      <c r="G80" t="inlineStr">
        <is>
          <t>HANINGE</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18548-2024</t>
        </is>
      </c>
      <c r="B81" t="inlineStr">
        <is>
          <t>avverkningsanmälan</t>
        </is>
      </c>
      <c r="C81" t="inlineStr">
        <is>
          <t>Föryngringsavverkning</t>
        </is>
      </c>
      <c r="D81" s="1" t="n">
        <v>45425</v>
      </c>
      <c r="E81" s="1" t="n">
        <v>46237</v>
      </c>
      <c r="F81" t="inlineStr">
        <is>
          <t>STOCKHOLMS LÄN</t>
        </is>
      </c>
      <c r="G81" t="inlineStr">
        <is>
          <t>HANINGE</t>
        </is>
      </c>
      <c r="H81" t="inlineStr">
        <is>
          <t>Kommuner</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24193-2025</t>
        </is>
      </c>
      <c r="B82" t="inlineStr">
        <is>
          <t>avverkningsanmälan</t>
        </is>
      </c>
      <c r="C82" t="inlineStr">
        <is>
          <t>Föryngringsavverkning</t>
        </is>
      </c>
      <c r="D82" s="1" t="n">
        <v>45796</v>
      </c>
      <c r="E82" s="1" t="n">
        <v>46237</v>
      </c>
      <c r="F82" t="inlineStr">
        <is>
          <t>STOCKHOLMS LÄN</t>
        </is>
      </c>
      <c r="G82" t="inlineStr">
        <is>
          <t>HANINGE</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64075-2023</t>
        </is>
      </c>
      <c r="B83" t="inlineStr">
        <is>
          <t>avverkningsanmälan</t>
        </is>
      </c>
      <c r="C83" t="inlineStr">
        <is>
          <t>Föryngringsavverkning</t>
        </is>
      </c>
      <c r="D83" s="1" t="n">
        <v>45279</v>
      </c>
      <c r="E83" s="1" t="n">
        <v>46237</v>
      </c>
      <c r="F83" t="inlineStr">
        <is>
          <t>STOCKHOLMS LÄN</t>
        </is>
      </c>
      <c r="G83" t="inlineStr">
        <is>
          <t>HANINGE</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27596-2025</t>
        </is>
      </c>
      <c r="B84" t="inlineStr">
        <is>
          <t>avverkningsanmälan</t>
        </is>
      </c>
      <c r="C84" t="inlineStr">
        <is>
          <t>Avverkning för att bevara och utveckla /försöksver</t>
        </is>
      </c>
      <c r="D84" s="1" t="n">
        <v>45813</v>
      </c>
      <c r="E84" s="1" t="n">
        <v>46237</v>
      </c>
      <c r="F84" t="inlineStr">
        <is>
          <t>STOCKHOLMS LÄN</t>
        </is>
      </c>
      <c r="G84" t="inlineStr">
        <is>
          <t>HANINGE</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14264-2025</t>
        </is>
      </c>
      <c r="B85" t="inlineStr">
        <is>
          <t>avverkningsanmälan</t>
        </is>
      </c>
      <c r="C85" t="inlineStr">
        <is>
          <t>Föryngringsavverkning</t>
        </is>
      </c>
      <c r="D85" s="1" t="n">
        <v>45740</v>
      </c>
      <c r="E85" s="1" t="n">
        <v>46237</v>
      </c>
      <c r="F85" t="inlineStr">
        <is>
          <t>STOCKHOLMS LÄN</t>
        </is>
      </c>
      <c r="G85" t="inlineStr">
        <is>
          <t>HANINGE</t>
        </is>
      </c>
      <c r="I85" t="n">
        <v>1</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46237</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2026-08-03T01:55:34Z</dcterms:created>
  <dcterms:modified xmlns:dcterms="http://purl.org/dc/terms/" xmlns:xsi="http://www.w3.org/2001/XMLSchema-instance" xsi:type="dcterms:W3CDTF">2026-08-03T01:55:34Z</dcterms:modified>
</cp:coreProperties>
</file>