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45825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45825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45825</v>
      </c>
      <c r="D4" t="inlineStr">
        <is>
          <t>STOCKHOLMS LÄN</t>
        </is>
      </c>
      <c r="E4" t="inlineStr">
        <is>
          <t>HANINGE</t>
        </is>
      </c>
      <c r="G4" t="n">
        <v>19.8</v>
      </c>
      <c r="H4" t="n">
        <v>11</v>
      </c>
      <c r="I4" t="n">
        <v>11</v>
      </c>
      <c r="J4" t="n">
        <v>7</v>
      </c>
      <c r="K4" t="n">
        <v>2</v>
      </c>
      <c r="L4" t="n">
        <v>0</v>
      </c>
      <c r="M4" t="n">
        <v>0</v>
      </c>
      <c r="N4" t="n">
        <v>0</v>
      </c>
      <c r="O4" t="n">
        <v>9</v>
      </c>
      <c r="P4" t="n">
        <v>2</v>
      </c>
      <c r="Q4" t="n">
        <v>25</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Fläcknycklar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45825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45825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45825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45825</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45825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45825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45825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45825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45825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45825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3152-2025</t>
        </is>
      </c>
      <c r="B15" s="1" t="n">
        <v>45679</v>
      </c>
      <c r="C15" s="1" t="n">
        <v>45825</v>
      </c>
      <c r="D15" t="inlineStr">
        <is>
          <t>STOCKHOLMS LÄN</t>
        </is>
      </c>
      <c r="E15" t="inlineStr">
        <is>
          <t>HANINGE</t>
        </is>
      </c>
      <c r="G15" t="n">
        <v>2.2</v>
      </c>
      <c r="H15" t="n">
        <v>6</v>
      </c>
      <c r="I15" t="n">
        <v>4</v>
      </c>
      <c r="J15" t="n">
        <v>2</v>
      </c>
      <c r="K15" t="n">
        <v>0</v>
      </c>
      <c r="L15" t="n">
        <v>0</v>
      </c>
      <c r="M15" t="n">
        <v>0</v>
      </c>
      <c r="N15" t="n">
        <v>0</v>
      </c>
      <c r="O15" t="n">
        <v>2</v>
      </c>
      <c r="P15" t="n">
        <v>0</v>
      </c>
      <c r="Q15" t="n">
        <v>10</v>
      </c>
      <c r="R15" s="2" t="inlineStr">
        <is>
          <t>Blå taggsvamp
Vedtrappmossa
Grön sköldmossa
Grönpyrola
Mindre märgborre
Plattlummer
Vanlig padda
Fläcknycklar
Mattlummer
Revlummer</t>
        </is>
      </c>
      <c r="S15">
        <f>HYPERLINK("https://klasma.github.io/Logging_0136/artfynd/A 3152-2025 artfynd.xlsx", "A 3152-2025")</f>
        <v/>
      </c>
      <c r="T15">
        <f>HYPERLINK("https://klasma.github.io/Logging_0136/kartor/A 3152-2025 karta.png", "A 3152-2025")</f>
        <v/>
      </c>
      <c r="V15">
        <f>HYPERLINK("https://klasma.github.io/Logging_0136/klagomål/A 3152-2025 FSC-klagomål.docx", "A 3152-2025")</f>
        <v/>
      </c>
      <c r="W15">
        <f>HYPERLINK("https://klasma.github.io/Logging_0136/klagomålsmail/A 3152-2025 FSC-klagomål mail.docx", "A 3152-2025")</f>
        <v/>
      </c>
      <c r="X15">
        <f>HYPERLINK("https://klasma.github.io/Logging_0136/tillsyn/A 3152-2025 tillsynsbegäran.docx", "A 3152-2025")</f>
        <v/>
      </c>
      <c r="Y15">
        <f>HYPERLINK("https://klasma.github.io/Logging_0136/tillsynsmail/A 3152-2025 tillsynsbegäran mail.docx", "A 3152-2025")</f>
        <v/>
      </c>
    </row>
    <row r="16" ht="15" customHeight="1">
      <c r="A16" t="inlineStr">
        <is>
          <t>A 3155-2025</t>
        </is>
      </c>
      <c r="B16" s="1" t="n">
        <v>45679</v>
      </c>
      <c r="C16" s="1" t="n">
        <v>45825</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45825</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45825</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45825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45825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45825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45825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45825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45825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45825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45825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45825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45825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45825</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45825</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45825</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45825</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45825</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45825</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45825</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45825</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45825</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45825</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45825</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45825</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45825</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45825</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45825</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45825</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45825</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45825</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45825</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45825</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45825</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45825</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45825</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45825</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45825</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45825</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45825</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45825</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45825</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45825</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45825</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45825</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45825</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45825</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45825</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45825</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45825</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45825</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45825</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45825</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45825</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45825</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45825</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45825</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45825</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45825</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45825</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45825</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45825</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45825</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45825</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45825</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45825</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45825</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45825</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45825</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45825</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45825</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45825</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45825</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45825</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45825</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45825</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45825</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45825</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45825</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45825</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45825</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45825</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45825</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45825</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45825</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45825</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45825</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45825</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45825</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45825</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45825</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45825</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45825</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45825</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45825</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45825</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45825</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45825</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45825</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45825</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45825</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45825</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45825</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45825</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45825</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45825</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45825</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45825</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45825</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45825</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45825</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45825</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45825</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45825</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45825</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45825</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45825</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45825</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45825</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45825</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45825</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45825</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45825</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45825</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45825</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45825</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45825</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45825</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45825</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45825</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45825</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45825</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45825</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45825</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45825</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45825</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45825</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45825</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45825</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45825</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45825</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45825</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45825</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45825</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45825</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45825</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45825</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45825</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24189-2025</t>
        </is>
      </c>
      <c r="B164" s="1" t="n">
        <v>45796</v>
      </c>
      <c r="C164" s="1" t="n">
        <v>45825</v>
      </c>
      <c r="D164" t="inlineStr">
        <is>
          <t>STOCKHOLMS LÄN</t>
        </is>
      </c>
      <c r="E164" t="inlineStr">
        <is>
          <t>HANINGE</t>
        </is>
      </c>
      <c r="G164" t="n">
        <v>6.1</v>
      </c>
      <c r="H164" t="n">
        <v>0</v>
      </c>
      <c r="I164" t="n">
        <v>0</v>
      </c>
      <c r="J164" t="n">
        <v>0</v>
      </c>
      <c r="K164" t="n">
        <v>0</v>
      </c>
      <c r="L164" t="n">
        <v>0</v>
      </c>
      <c r="M164" t="n">
        <v>0</v>
      </c>
      <c r="N164" t="n">
        <v>0</v>
      </c>
      <c r="O164" t="n">
        <v>0</v>
      </c>
      <c r="P164" t="n">
        <v>0</v>
      </c>
      <c r="Q164" t="n">
        <v>0</v>
      </c>
      <c r="R164" s="2" t="inlineStr"/>
    </row>
    <row r="165" ht="15" customHeight="1">
      <c r="A165" t="inlineStr">
        <is>
          <t>A 24193-2025</t>
        </is>
      </c>
      <c r="B165" s="1" t="n">
        <v>45796</v>
      </c>
      <c r="C165" s="1" t="n">
        <v>45825</v>
      </c>
      <c r="D165" t="inlineStr">
        <is>
          <t>STOCKHOLMS LÄN</t>
        </is>
      </c>
      <c r="E165" t="inlineStr">
        <is>
          <t>HANINGE</t>
        </is>
      </c>
      <c r="G165" t="n">
        <v>0.4</v>
      </c>
      <c r="H165" t="n">
        <v>0</v>
      </c>
      <c r="I165" t="n">
        <v>0</v>
      </c>
      <c r="J165" t="n">
        <v>0</v>
      </c>
      <c r="K165" t="n">
        <v>0</v>
      </c>
      <c r="L165" t="n">
        <v>0</v>
      </c>
      <c r="M165" t="n">
        <v>0</v>
      </c>
      <c r="N165" t="n">
        <v>0</v>
      </c>
      <c r="O165" t="n">
        <v>0</v>
      </c>
      <c r="P165" t="n">
        <v>0</v>
      </c>
      <c r="Q165" t="n">
        <v>0</v>
      </c>
      <c r="R165" s="2" t="inlineStr"/>
    </row>
    <row r="166" ht="15" customHeight="1">
      <c r="A166" t="inlineStr">
        <is>
          <t>A 24115-2025</t>
        </is>
      </c>
      <c r="B166" s="1" t="n">
        <v>45796</v>
      </c>
      <c r="C166" s="1" t="n">
        <v>45825</v>
      </c>
      <c r="D166" t="inlineStr">
        <is>
          <t>STOCKHOLMS LÄN</t>
        </is>
      </c>
      <c r="E166" t="inlineStr">
        <is>
          <t>HANINGE</t>
        </is>
      </c>
      <c r="G166" t="n">
        <v>2</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45825</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45825</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2025-06-17T18:46:54Z</dcterms:created>
  <dcterms:modified xmlns:dcterms="http://purl.org/dc/terms/" xmlns:xsi="http://www.w3.org/2001/XMLSchema-instance" xsi:type="dcterms:W3CDTF">2025-06-17T18:46:54Z</dcterms:modified>
</cp:coreProperties>
</file>