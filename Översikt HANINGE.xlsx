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45975</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45975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45975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45975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45975</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45975</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45975</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24189-2025</t>
        </is>
      </c>
      <c r="B14" s="1" t="n">
        <v>45796.84584490741</v>
      </c>
      <c r="C14" s="1" t="n">
        <v>45975</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45975</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45975</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45975</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45975</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60369-2023</t>
        </is>
      </c>
      <c r="B19" s="1" t="n">
        <v>45259</v>
      </c>
      <c r="C19" s="1" t="n">
        <v>45975</v>
      </c>
      <c r="D19" t="inlineStr">
        <is>
          <t>STOCKHOLMS LÄN</t>
        </is>
      </c>
      <c r="E19" t="inlineStr">
        <is>
          <t>HANINGE</t>
        </is>
      </c>
      <c r="G19" t="n">
        <v>2.9</v>
      </c>
      <c r="H19" t="n">
        <v>1</v>
      </c>
      <c r="I19" t="n">
        <v>0</v>
      </c>
      <c r="J19" t="n">
        <v>0</v>
      </c>
      <c r="K19" t="n">
        <v>0</v>
      </c>
      <c r="L19" t="n">
        <v>0</v>
      </c>
      <c r="M19" t="n">
        <v>0</v>
      </c>
      <c r="N19" t="n">
        <v>0</v>
      </c>
      <c r="O19" t="n">
        <v>0</v>
      </c>
      <c r="P19" t="n">
        <v>0</v>
      </c>
      <c r="Q19" t="n">
        <v>1</v>
      </c>
      <c r="R19" s="2" t="inlineStr">
        <is>
          <t>Mattlummer</t>
        </is>
      </c>
      <c r="S19">
        <f>HYPERLINK("https://klasma.github.io/Logging_0136/artfynd/A 60369-2023 artfynd.xlsx", "A 60369-2023")</f>
        <v/>
      </c>
      <c r="T19">
        <f>HYPERLINK("https://klasma.github.io/Logging_0136/kartor/A 60369-2023 karta.png", "A 60369-2023")</f>
        <v/>
      </c>
      <c r="V19">
        <f>HYPERLINK("https://klasma.github.io/Logging_0136/klagomål/A 60369-2023 FSC-klagomål.docx", "A 60369-2023")</f>
        <v/>
      </c>
      <c r="W19">
        <f>HYPERLINK("https://klasma.github.io/Logging_0136/klagomålsmail/A 60369-2023 FSC-klagomål mail.docx", "A 60369-2023")</f>
        <v/>
      </c>
      <c r="X19">
        <f>HYPERLINK("https://klasma.github.io/Logging_0136/tillsyn/A 60369-2023 tillsynsbegäran.docx", "A 60369-2023")</f>
        <v/>
      </c>
      <c r="Y19">
        <f>HYPERLINK("https://klasma.github.io/Logging_0136/tillsynsmail/A 60369-2023 tillsynsbegäran mail.docx", "A 60369-2023")</f>
        <v/>
      </c>
    </row>
    <row r="20" ht="15" customHeight="1">
      <c r="A20" t="inlineStr">
        <is>
          <t>A 37004-2022</t>
        </is>
      </c>
      <c r="B20" s="1" t="n">
        <v>44806</v>
      </c>
      <c r="C20" s="1" t="n">
        <v>45975</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68883-2021</t>
        </is>
      </c>
      <c r="B21" s="1" t="n">
        <v>44526</v>
      </c>
      <c r="C21" s="1" t="n">
        <v>45975</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34823-2022</t>
        </is>
      </c>
      <c r="B22" s="1" t="n">
        <v>44796</v>
      </c>
      <c r="C22" s="1" t="n">
        <v>45975</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31780-2021</t>
        </is>
      </c>
      <c r="B23" s="1" t="n">
        <v>44369</v>
      </c>
      <c r="C23" s="1" t="n">
        <v>45975</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45975</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45975</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45975</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45975</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45975</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45975</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45975</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45975</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45975</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45975</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45975</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41266-2022</t>
        </is>
      </c>
      <c r="B35" s="1" t="n">
        <v>44825</v>
      </c>
      <c r="C35" s="1" t="n">
        <v>45975</v>
      </c>
      <c r="D35" t="inlineStr">
        <is>
          <t>STOCKHOLMS LÄN</t>
        </is>
      </c>
      <c r="E35" t="inlineStr">
        <is>
          <t>HANINGE</t>
        </is>
      </c>
      <c r="F35" t="inlineStr">
        <is>
          <t>Övriga statliga verk och myndigheter</t>
        </is>
      </c>
      <c r="G35" t="n">
        <v>1.6</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45975</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45975</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45975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55861-2021</t>
        </is>
      </c>
      <c r="B39" s="1" t="n">
        <v>44476</v>
      </c>
      <c r="C39" s="1" t="n">
        <v>45975</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45975</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45975</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30419-2022</t>
        </is>
      </c>
      <c r="B42" s="1" t="n">
        <v>44761</v>
      </c>
      <c r="C42" s="1" t="n">
        <v>45975</v>
      </c>
      <c r="D42" t="inlineStr">
        <is>
          <t>STOCKHOLMS LÄN</t>
        </is>
      </c>
      <c r="E42" t="inlineStr">
        <is>
          <t>HANINGE</t>
        </is>
      </c>
      <c r="G42" t="n">
        <v>7.4</v>
      </c>
      <c r="H42" t="n">
        <v>0</v>
      </c>
      <c r="I42" t="n">
        <v>0</v>
      </c>
      <c r="J42" t="n">
        <v>0</v>
      </c>
      <c r="K42" t="n">
        <v>0</v>
      </c>
      <c r="L42" t="n">
        <v>0</v>
      </c>
      <c r="M42" t="n">
        <v>0</v>
      </c>
      <c r="N42" t="n">
        <v>0</v>
      </c>
      <c r="O42" t="n">
        <v>0</v>
      </c>
      <c r="P42" t="n">
        <v>0</v>
      </c>
      <c r="Q42" t="n">
        <v>0</v>
      </c>
      <c r="R42" s="2" t="inlineStr"/>
    </row>
    <row r="43" ht="15" customHeight="1">
      <c r="A43" t="inlineStr">
        <is>
          <t>A 19652-2022</t>
        </is>
      </c>
      <c r="B43" s="1" t="n">
        <v>44694</v>
      </c>
      <c r="C43" s="1" t="n">
        <v>45975</v>
      </c>
      <c r="D43" t="inlineStr">
        <is>
          <t>STOCKHOLMS LÄN</t>
        </is>
      </c>
      <c r="E43" t="inlineStr">
        <is>
          <t>HANINGE</t>
        </is>
      </c>
      <c r="G43" t="n">
        <v>1.3</v>
      </c>
      <c r="H43" t="n">
        <v>0</v>
      </c>
      <c r="I43" t="n">
        <v>0</v>
      </c>
      <c r="J43" t="n">
        <v>0</v>
      </c>
      <c r="K43" t="n">
        <v>0</v>
      </c>
      <c r="L43" t="n">
        <v>0</v>
      </c>
      <c r="M43" t="n">
        <v>0</v>
      </c>
      <c r="N43" t="n">
        <v>0</v>
      </c>
      <c r="O43" t="n">
        <v>0</v>
      </c>
      <c r="P43" t="n">
        <v>0</v>
      </c>
      <c r="Q43" t="n">
        <v>0</v>
      </c>
      <c r="R43" s="2" t="inlineStr"/>
    </row>
    <row r="44" ht="15" customHeight="1">
      <c r="A44" t="inlineStr">
        <is>
          <t>A 45395-2021</t>
        </is>
      </c>
      <c r="B44" s="1" t="n">
        <v>44440</v>
      </c>
      <c r="C44" s="1" t="n">
        <v>45975</v>
      </c>
      <c r="D44" t="inlineStr">
        <is>
          <t>STOCKHOLMS LÄN</t>
        </is>
      </c>
      <c r="E44" t="inlineStr">
        <is>
          <t>HANINGE</t>
        </is>
      </c>
      <c r="F44" t="inlineStr">
        <is>
          <t>Övriga statliga verk och myndigheter</t>
        </is>
      </c>
      <c r="G44" t="n">
        <v>3.5</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45975</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24873-2023</t>
        </is>
      </c>
      <c r="B46" s="1" t="n">
        <v>45085</v>
      </c>
      <c r="C46" s="1" t="n">
        <v>45975</v>
      </c>
      <c r="D46" t="inlineStr">
        <is>
          <t>STOCKHOLMS LÄN</t>
        </is>
      </c>
      <c r="E46" t="inlineStr">
        <is>
          <t>HANINGE</t>
        </is>
      </c>
      <c r="G46" t="n">
        <v>1.9</v>
      </c>
      <c r="H46" t="n">
        <v>0</v>
      </c>
      <c r="I46" t="n">
        <v>0</v>
      </c>
      <c r="J46" t="n">
        <v>0</v>
      </c>
      <c r="K46" t="n">
        <v>0</v>
      </c>
      <c r="L46" t="n">
        <v>0</v>
      </c>
      <c r="M46" t="n">
        <v>0</v>
      </c>
      <c r="N46" t="n">
        <v>0</v>
      </c>
      <c r="O46" t="n">
        <v>0</v>
      </c>
      <c r="P46" t="n">
        <v>0</v>
      </c>
      <c r="Q46" t="n">
        <v>0</v>
      </c>
      <c r="R46" s="2" t="inlineStr"/>
    </row>
    <row r="47" ht="15" customHeight="1">
      <c r="A47" t="inlineStr">
        <is>
          <t>A 52773-2024</t>
        </is>
      </c>
      <c r="B47" s="1" t="n">
        <v>45610.53207175926</v>
      </c>
      <c r="C47" s="1" t="n">
        <v>45975</v>
      </c>
      <c r="D47" t="inlineStr">
        <is>
          <t>STOCKHOLMS LÄN</t>
        </is>
      </c>
      <c r="E47" t="inlineStr">
        <is>
          <t>HANINGE</t>
        </is>
      </c>
      <c r="G47" t="n">
        <v>0.7</v>
      </c>
      <c r="H47" t="n">
        <v>0</v>
      </c>
      <c r="I47" t="n">
        <v>0</v>
      </c>
      <c r="J47" t="n">
        <v>0</v>
      </c>
      <c r="K47" t="n">
        <v>0</v>
      </c>
      <c r="L47" t="n">
        <v>0</v>
      </c>
      <c r="M47" t="n">
        <v>0</v>
      </c>
      <c r="N47" t="n">
        <v>0</v>
      </c>
      <c r="O47" t="n">
        <v>0</v>
      </c>
      <c r="P47" t="n">
        <v>0</v>
      </c>
      <c r="Q47" t="n">
        <v>0</v>
      </c>
      <c r="R47" s="2" t="inlineStr"/>
    </row>
    <row r="48" ht="15" customHeight="1">
      <c r="A48" t="inlineStr">
        <is>
          <t>A 18512-2024</t>
        </is>
      </c>
      <c r="B48" s="1" t="n">
        <v>45425.59938657407</v>
      </c>
      <c r="C48" s="1" t="n">
        <v>45975</v>
      </c>
      <c r="D48" t="inlineStr">
        <is>
          <t>STOCKHOLMS LÄN</t>
        </is>
      </c>
      <c r="E48" t="inlineStr">
        <is>
          <t>HANINGE</t>
        </is>
      </c>
      <c r="F48" t="inlineStr">
        <is>
          <t>Kommuner</t>
        </is>
      </c>
      <c r="G48" t="n">
        <v>0.7</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45975</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45975</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23666-2024</t>
        </is>
      </c>
      <c r="B51" s="1" t="n">
        <v>45454.57909722222</v>
      </c>
      <c r="C51" s="1" t="n">
        <v>45975</v>
      </c>
      <c r="D51" t="inlineStr">
        <is>
          <t>STOCKHOLMS LÄN</t>
        </is>
      </c>
      <c r="E51" t="inlineStr">
        <is>
          <t>HANINGE</t>
        </is>
      </c>
      <c r="G51" t="n">
        <v>0.8</v>
      </c>
      <c r="H51" t="n">
        <v>0</v>
      </c>
      <c r="I51" t="n">
        <v>0</v>
      </c>
      <c r="J51" t="n">
        <v>0</v>
      </c>
      <c r="K51" t="n">
        <v>0</v>
      </c>
      <c r="L51" t="n">
        <v>0</v>
      </c>
      <c r="M51" t="n">
        <v>0</v>
      </c>
      <c r="N51" t="n">
        <v>0</v>
      </c>
      <c r="O51" t="n">
        <v>0</v>
      </c>
      <c r="P51" t="n">
        <v>0</v>
      </c>
      <c r="Q51" t="n">
        <v>0</v>
      </c>
      <c r="R51" s="2" t="inlineStr"/>
    </row>
    <row r="52" ht="15" customHeight="1">
      <c r="A52" t="inlineStr">
        <is>
          <t>A 4297-2024</t>
        </is>
      </c>
      <c r="B52" s="1" t="n">
        <v>45324.62291666667</v>
      </c>
      <c r="C52" s="1" t="n">
        <v>45975</v>
      </c>
      <c r="D52" t="inlineStr">
        <is>
          <t>STOCKHOLMS LÄN</t>
        </is>
      </c>
      <c r="E52" t="inlineStr">
        <is>
          <t>HANINGE</t>
        </is>
      </c>
      <c r="F52" t="inlineStr">
        <is>
          <t>Kommuner</t>
        </is>
      </c>
      <c r="G52" t="n">
        <v>0.4</v>
      </c>
      <c r="H52" t="n">
        <v>0</v>
      </c>
      <c r="I52" t="n">
        <v>0</v>
      </c>
      <c r="J52" t="n">
        <v>0</v>
      </c>
      <c r="K52" t="n">
        <v>0</v>
      </c>
      <c r="L52" t="n">
        <v>0</v>
      </c>
      <c r="M52" t="n">
        <v>0</v>
      </c>
      <c r="N52" t="n">
        <v>0</v>
      </c>
      <c r="O52" t="n">
        <v>0</v>
      </c>
      <c r="P52" t="n">
        <v>0</v>
      </c>
      <c r="Q52" t="n">
        <v>0</v>
      </c>
      <c r="R52" s="2" t="inlineStr"/>
    </row>
    <row r="53" ht="15" customHeight="1">
      <c r="A53" t="inlineStr">
        <is>
          <t>A 1703-2023</t>
        </is>
      </c>
      <c r="B53" s="1" t="n">
        <v>44938.44412037037</v>
      </c>
      <c r="C53" s="1" t="n">
        <v>45975</v>
      </c>
      <c r="D53" t="inlineStr">
        <is>
          <t>STOCKHOLMS LÄN</t>
        </is>
      </c>
      <c r="E53" t="inlineStr">
        <is>
          <t>HANINGE</t>
        </is>
      </c>
      <c r="G53" t="n">
        <v>1.8</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45975</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17765-2024</t>
        </is>
      </c>
      <c r="B55" s="1" t="n">
        <v>45418.63149305555</v>
      </c>
      <c r="C55" s="1" t="n">
        <v>45975</v>
      </c>
      <c r="D55" t="inlineStr">
        <is>
          <t>STOCKHOLMS LÄN</t>
        </is>
      </c>
      <c r="E55" t="inlineStr">
        <is>
          <t>HANINGE</t>
        </is>
      </c>
      <c r="G55" t="n">
        <v>1.3</v>
      </c>
      <c r="H55" t="n">
        <v>0</v>
      </c>
      <c r="I55" t="n">
        <v>0</v>
      </c>
      <c r="J55" t="n">
        <v>0</v>
      </c>
      <c r="K55" t="n">
        <v>0</v>
      </c>
      <c r="L55" t="n">
        <v>0</v>
      </c>
      <c r="M55" t="n">
        <v>0</v>
      </c>
      <c r="N55" t="n">
        <v>0</v>
      </c>
      <c r="O55" t="n">
        <v>0</v>
      </c>
      <c r="P55" t="n">
        <v>0</v>
      </c>
      <c r="Q55" t="n">
        <v>0</v>
      </c>
      <c r="R55" s="2" t="inlineStr"/>
    </row>
    <row r="56" ht="15" customHeight="1">
      <c r="A56" t="inlineStr">
        <is>
          <t>A 25584-2023</t>
        </is>
      </c>
      <c r="B56" s="1" t="n">
        <v>45089</v>
      </c>
      <c r="C56" s="1" t="n">
        <v>45975</v>
      </c>
      <c r="D56" t="inlineStr">
        <is>
          <t>STOCKHOLMS LÄN</t>
        </is>
      </c>
      <c r="E56" t="inlineStr">
        <is>
          <t>HANINGE</t>
        </is>
      </c>
      <c r="G56" t="n">
        <v>4.8</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45975</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6648-2023</t>
        </is>
      </c>
      <c r="B58" s="1" t="n">
        <v>44966</v>
      </c>
      <c r="C58" s="1" t="n">
        <v>45975</v>
      </c>
      <c r="D58" t="inlineStr">
        <is>
          <t>STOCKHOLMS LÄN</t>
        </is>
      </c>
      <c r="E58" t="inlineStr">
        <is>
          <t>HANINGE</t>
        </is>
      </c>
      <c r="G58" t="n">
        <v>4</v>
      </c>
      <c r="H58" t="n">
        <v>0</v>
      </c>
      <c r="I58" t="n">
        <v>0</v>
      </c>
      <c r="J58" t="n">
        <v>0</v>
      </c>
      <c r="K58" t="n">
        <v>0</v>
      </c>
      <c r="L58" t="n">
        <v>0</v>
      </c>
      <c r="M58" t="n">
        <v>0</v>
      </c>
      <c r="N58" t="n">
        <v>0</v>
      </c>
      <c r="O58" t="n">
        <v>0</v>
      </c>
      <c r="P58" t="n">
        <v>0</v>
      </c>
      <c r="Q58" t="n">
        <v>0</v>
      </c>
      <c r="R58" s="2" t="inlineStr"/>
    </row>
    <row r="59" ht="15" customHeight="1">
      <c r="A59" t="inlineStr">
        <is>
          <t>A 52770-2024</t>
        </is>
      </c>
      <c r="B59" s="1" t="n">
        <v>45610.52414351852</v>
      </c>
      <c r="C59" s="1" t="n">
        <v>45975</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row>
    <row r="60" ht="15" customHeight="1">
      <c r="A60" t="inlineStr">
        <is>
          <t>A 52836-2024</t>
        </is>
      </c>
      <c r="B60" s="1" t="n">
        <v>45610.59637731482</v>
      </c>
      <c r="C60" s="1" t="n">
        <v>45975</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45975</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5474-2024</t>
        </is>
      </c>
      <c r="B62" s="1" t="n">
        <v>45333.51131944444</v>
      </c>
      <c r="C62" s="1" t="n">
        <v>45975</v>
      </c>
      <c r="D62" t="inlineStr">
        <is>
          <t>STOCKHOLMS LÄN</t>
        </is>
      </c>
      <c r="E62" t="inlineStr">
        <is>
          <t>HANINGE</t>
        </is>
      </c>
      <c r="F62" t="inlineStr">
        <is>
          <t>Kommuner</t>
        </is>
      </c>
      <c r="G62" t="n">
        <v>0.9</v>
      </c>
      <c r="H62" t="n">
        <v>0</v>
      </c>
      <c r="I62" t="n">
        <v>0</v>
      </c>
      <c r="J62" t="n">
        <v>0</v>
      </c>
      <c r="K62" t="n">
        <v>0</v>
      </c>
      <c r="L62" t="n">
        <v>0</v>
      </c>
      <c r="M62" t="n">
        <v>0</v>
      </c>
      <c r="N62" t="n">
        <v>0</v>
      </c>
      <c r="O62" t="n">
        <v>0</v>
      </c>
      <c r="P62" t="n">
        <v>0</v>
      </c>
      <c r="Q62" t="n">
        <v>0</v>
      </c>
      <c r="R62" s="2" t="inlineStr"/>
    </row>
    <row r="63" ht="15" customHeight="1">
      <c r="A63" t="inlineStr">
        <is>
          <t>A 14900-2025</t>
        </is>
      </c>
      <c r="B63" s="1" t="n">
        <v>45743.48729166666</v>
      </c>
      <c r="C63" s="1" t="n">
        <v>45975</v>
      </c>
      <c r="D63" t="inlineStr">
        <is>
          <t>STOCKHOLMS LÄN</t>
        </is>
      </c>
      <c r="E63" t="inlineStr">
        <is>
          <t>HANINGE</t>
        </is>
      </c>
      <c r="G63" t="n">
        <v>4.5</v>
      </c>
      <c r="H63" t="n">
        <v>0</v>
      </c>
      <c r="I63" t="n">
        <v>0</v>
      </c>
      <c r="J63" t="n">
        <v>0</v>
      </c>
      <c r="K63" t="n">
        <v>0</v>
      </c>
      <c r="L63" t="n">
        <v>0</v>
      </c>
      <c r="M63" t="n">
        <v>0</v>
      </c>
      <c r="N63" t="n">
        <v>0</v>
      </c>
      <c r="O63" t="n">
        <v>0</v>
      </c>
      <c r="P63" t="n">
        <v>0</v>
      </c>
      <c r="Q63" t="n">
        <v>0</v>
      </c>
      <c r="R63" s="2" t="inlineStr"/>
    </row>
    <row r="64" ht="15" customHeight="1">
      <c r="A64" t="inlineStr">
        <is>
          <t>A 58599-2023</t>
        </is>
      </c>
      <c r="B64" s="1" t="n">
        <v>45251.47721064815</v>
      </c>
      <c r="C64" s="1" t="n">
        <v>45975</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18528-2024</t>
        </is>
      </c>
      <c r="B65" s="1" t="n">
        <v>45425.61965277778</v>
      </c>
      <c r="C65" s="1" t="n">
        <v>45975</v>
      </c>
      <c r="D65" t="inlineStr">
        <is>
          <t>STOCKHOLMS LÄN</t>
        </is>
      </c>
      <c r="E65" t="inlineStr">
        <is>
          <t>HANINGE</t>
        </is>
      </c>
      <c r="F65" t="inlineStr">
        <is>
          <t>Kommuner</t>
        </is>
      </c>
      <c r="G65" t="n">
        <v>0.5</v>
      </c>
      <c r="H65" t="n">
        <v>0</v>
      </c>
      <c r="I65" t="n">
        <v>0</v>
      </c>
      <c r="J65" t="n">
        <v>0</v>
      </c>
      <c r="K65" t="n">
        <v>0</v>
      </c>
      <c r="L65" t="n">
        <v>0</v>
      </c>
      <c r="M65" t="n">
        <v>0</v>
      </c>
      <c r="N65" t="n">
        <v>0</v>
      </c>
      <c r="O65" t="n">
        <v>0</v>
      </c>
      <c r="P65" t="n">
        <v>0</v>
      </c>
      <c r="Q65" t="n">
        <v>0</v>
      </c>
      <c r="R65" s="2" t="inlineStr"/>
    </row>
    <row r="66" ht="15" customHeight="1">
      <c r="A66" t="inlineStr">
        <is>
          <t>A 38880-2025</t>
        </is>
      </c>
      <c r="B66" s="1" t="n">
        <v>45887.57966435186</v>
      </c>
      <c r="C66" s="1" t="n">
        <v>45975</v>
      </c>
      <c r="D66" t="inlineStr">
        <is>
          <t>STOCKHOLMS LÄN</t>
        </is>
      </c>
      <c r="E66" t="inlineStr">
        <is>
          <t>HANINGE</t>
        </is>
      </c>
      <c r="G66" t="n">
        <v>3.2</v>
      </c>
      <c r="H66" t="n">
        <v>0</v>
      </c>
      <c r="I66" t="n">
        <v>0</v>
      </c>
      <c r="J66" t="n">
        <v>0</v>
      </c>
      <c r="K66" t="n">
        <v>0</v>
      </c>
      <c r="L66" t="n">
        <v>0</v>
      </c>
      <c r="M66" t="n">
        <v>0</v>
      </c>
      <c r="N66" t="n">
        <v>0</v>
      </c>
      <c r="O66" t="n">
        <v>0</v>
      </c>
      <c r="P66" t="n">
        <v>0</v>
      </c>
      <c r="Q66" t="n">
        <v>0</v>
      </c>
      <c r="R66" s="2" t="inlineStr"/>
    </row>
    <row r="67" ht="15" customHeight="1">
      <c r="A67" t="inlineStr">
        <is>
          <t>A 20527-2025</t>
        </is>
      </c>
      <c r="B67" s="1" t="n">
        <v>45775.60663194444</v>
      </c>
      <c r="C67" s="1" t="n">
        <v>45975</v>
      </c>
      <c r="D67" t="inlineStr">
        <is>
          <t>STOCKHOLMS LÄN</t>
        </is>
      </c>
      <c r="E67" t="inlineStr">
        <is>
          <t>HANINGE</t>
        </is>
      </c>
      <c r="G67" t="n">
        <v>2.1</v>
      </c>
      <c r="H67" t="n">
        <v>0</v>
      </c>
      <c r="I67" t="n">
        <v>0</v>
      </c>
      <c r="J67" t="n">
        <v>0</v>
      </c>
      <c r="K67" t="n">
        <v>0</v>
      </c>
      <c r="L67" t="n">
        <v>0</v>
      </c>
      <c r="M67" t="n">
        <v>0</v>
      </c>
      <c r="N67" t="n">
        <v>0</v>
      </c>
      <c r="O67" t="n">
        <v>0</v>
      </c>
      <c r="P67" t="n">
        <v>0</v>
      </c>
      <c r="Q67" t="n">
        <v>0</v>
      </c>
      <c r="R67" s="2" t="inlineStr"/>
    </row>
    <row r="68" ht="15" customHeight="1">
      <c r="A68" t="inlineStr">
        <is>
          <t>A 21231-2025</t>
        </is>
      </c>
      <c r="B68" s="1" t="n">
        <v>45779.54644675926</v>
      </c>
      <c r="C68" s="1" t="n">
        <v>45975</v>
      </c>
      <c r="D68" t="inlineStr">
        <is>
          <t>STOCKHOLMS LÄN</t>
        </is>
      </c>
      <c r="E68" t="inlineStr">
        <is>
          <t>HANINGE</t>
        </is>
      </c>
      <c r="G68" t="n">
        <v>4.3</v>
      </c>
      <c r="H68" t="n">
        <v>0</v>
      </c>
      <c r="I68" t="n">
        <v>0</v>
      </c>
      <c r="J68" t="n">
        <v>0</v>
      </c>
      <c r="K68" t="n">
        <v>0</v>
      </c>
      <c r="L68" t="n">
        <v>0</v>
      </c>
      <c r="M68" t="n">
        <v>0</v>
      </c>
      <c r="N68" t="n">
        <v>0</v>
      </c>
      <c r="O68" t="n">
        <v>0</v>
      </c>
      <c r="P68" t="n">
        <v>0</v>
      </c>
      <c r="Q68" t="n">
        <v>0</v>
      </c>
      <c r="R68" s="2" t="inlineStr"/>
    </row>
    <row r="69" ht="15" customHeight="1">
      <c r="A69" t="inlineStr">
        <is>
          <t>A 8163-2024</t>
        </is>
      </c>
      <c r="B69" s="1" t="n">
        <v>45351.60337962963</v>
      </c>
      <c r="C69" s="1" t="n">
        <v>45975</v>
      </c>
      <c r="D69" t="inlineStr">
        <is>
          <t>STOCKHOLMS LÄN</t>
        </is>
      </c>
      <c r="E69" t="inlineStr">
        <is>
          <t>HANINGE</t>
        </is>
      </c>
      <c r="F69" t="inlineStr">
        <is>
          <t>Kommuner</t>
        </is>
      </c>
      <c r="G69" t="n">
        <v>3.8</v>
      </c>
      <c r="H69" t="n">
        <v>0</v>
      </c>
      <c r="I69" t="n">
        <v>0</v>
      </c>
      <c r="J69" t="n">
        <v>0</v>
      </c>
      <c r="K69" t="n">
        <v>0</v>
      </c>
      <c r="L69" t="n">
        <v>0</v>
      </c>
      <c r="M69" t="n">
        <v>0</v>
      </c>
      <c r="N69" t="n">
        <v>0</v>
      </c>
      <c r="O69" t="n">
        <v>0</v>
      </c>
      <c r="P69" t="n">
        <v>0</v>
      </c>
      <c r="Q69" t="n">
        <v>0</v>
      </c>
      <c r="R69" s="2" t="inlineStr"/>
    </row>
    <row r="70" ht="15" customHeight="1">
      <c r="A70" t="inlineStr">
        <is>
          <t>A 48606-2025</t>
        </is>
      </c>
      <c r="B70" s="1" t="n">
        <v>45936.47019675926</v>
      </c>
      <c r="C70" s="1" t="n">
        <v>45975</v>
      </c>
      <c r="D70" t="inlineStr">
        <is>
          <t>STOCKHOLMS LÄN</t>
        </is>
      </c>
      <c r="E70" t="inlineStr">
        <is>
          <t>HANINGE</t>
        </is>
      </c>
      <c r="G70" t="n">
        <v>6.9</v>
      </c>
      <c r="H70" t="n">
        <v>0</v>
      </c>
      <c r="I70" t="n">
        <v>0</v>
      </c>
      <c r="J70" t="n">
        <v>0</v>
      </c>
      <c r="K70" t="n">
        <v>0</v>
      </c>
      <c r="L70" t="n">
        <v>0</v>
      </c>
      <c r="M70" t="n">
        <v>0</v>
      </c>
      <c r="N70" t="n">
        <v>0</v>
      </c>
      <c r="O70" t="n">
        <v>0</v>
      </c>
      <c r="P70" t="n">
        <v>0</v>
      </c>
      <c r="Q70" t="n">
        <v>0</v>
      </c>
      <c r="R70" s="2" t="inlineStr"/>
    </row>
    <row r="71" ht="15" customHeight="1">
      <c r="A71" t="inlineStr">
        <is>
          <t>A 64548-2020</t>
        </is>
      </c>
      <c r="B71" s="1" t="n">
        <v>44166</v>
      </c>
      <c r="C71" s="1" t="n">
        <v>45975</v>
      </c>
      <c r="D71" t="inlineStr">
        <is>
          <t>STOCKHOLMS LÄN</t>
        </is>
      </c>
      <c r="E71" t="inlineStr">
        <is>
          <t>HANINGE</t>
        </is>
      </c>
      <c r="G71" t="n">
        <v>7.2</v>
      </c>
      <c r="H71" t="n">
        <v>0</v>
      </c>
      <c r="I71" t="n">
        <v>0</v>
      </c>
      <c r="J71" t="n">
        <v>0</v>
      </c>
      <c r="K71" t="n">
        <v>0</v>
      </c>
      <c r="L71" t="n">
        <v>0</v>
      </c>
      <c r="M71" t="n">
        <v>0</v>
      </c>
      <c r="N71" t="n">
        <v>0</v>
      </c>
      <c r="O71" t="n">
        <v>0</v>
      </c>
      <c r="P71" t="n">
        <v>0</v>
      </c>
      <c r="Q71" t="n">
        <v>0</v>
      </c>
      <c r="R71" s="2" t="inlineStr"/>
    </row>
    <row r="72" ht="15" customHeight="1">
      <c r="A72" t="inlineStr">
        <is>
          <t>A 24115-2025</t>
        </is>
      </c>
      <c r="B72" s="1" t="n">
        <v>45796.61494212963</v>
      </c>
      <c r="C72" s="1" t="n">
        <v>45975</v>
      </c>
      <c r="D72" t="inlineStr">
        <is>
          <t>STOCKHOLMS LÄN</t>
        </is>
      </c>
      <c r="E72" t="inlineStr">
        <is>
          <t>HANINGE</t>
        </is>
      </c>
      <c r="G72" t="n">
        <v>2</v>
      </c>
      <c r="H72" t="n">
        <v>0</v>
      </c>
      <c r="I72" t="n">
        <v>0</v>
      </c>
      <c r="J72" t="n">
        <v>0</v>
      </c>
      <c r="K72" t="n">
        <v>0</v>
      </c>
      <c r="L72" t="n">
        <v>0</v>
      </c>
      <c r="M72" t="n">
        <v>0</v>
      </c>
      <c r="N72" t="n">
        <v>0</v>
      </c>
      <c r="O72" t="n">
        <v>0</v>
      </c>
      <c r="P72" t="n">
        <v>0</v>
      </c>
      <c r="Q72" t="n">
        <v>0</v>
      </c>
      <c r="R72" s="2" t="inlineStr"/>
    </row>
    <row r="73" ht="15" customHeight="1">
      <c r="A73" t="inlineStr">
        <is>
          <t>A 1187-2024</t>
        </is>
      </c>
      <c r="B73" s="1" t="n">
        <v>45302.58045138889</v>
      </c>
      <c r="C73" s="1" t="n">
        <v>45975</v>
      </c>
      <c r="D73" t="inlineStr">
        <is>
          <t>STOCKHOLMS LÄN</t>
        </is>
      </c>
      <c r="E73" t="inlineStr">
        <is>
          <t>HANINGE</t>
        </is>
      </c>
      <c r="G73" t="n">
        <v>1.5</v>
      </c>
      <c r="H73" t="n">
        <v>0</v>
      </c>
      <c r="I73" t="n">
        <v>0</v>
      </c>
      <c r="J73" t="n">
        <v>0</v>
      </c>
      <c r="K73" t="n">
        <v>0</v>
      </c>
      <c r="L73" t="n">
        <v>0</v>
      </c>
      <c r="M73" t="n">
        <v>0</v>
      </c>
      <c r="N73" t="n">
        <v>0</v>
      </c>
      <c r="O73" t="n">
        <v>0</v>
      </c>
      <c r="P73" t="n">
        <v>0</v>
      </c>
      <c r="Q73" t="n">
        <v>0</v>
      </c>
      <c r="R73" s="2" t="inlineStr"/>
    </row>
    <row r="74" ht="15" customHeight="1">
      <c r="A74" t="inlineStr">
        <is>
          <t>A 24191-2025</t>
        </is>
      </c>
      <c r="B74" s="1" t="n">
        <v>45796.86738425926</v>
      </c>
      <c r="C74" s="1" t="n">
        <v>45975</v>
      </c>
      <c r="D74" t="inlineStr">
        <is>
          <t>STOCKHOLMS LÄN</t>
        </is>
      </c>
      <c r="E74" t="inlineStr">
        <is>
          <t>HANINGE</t>
        </is>
      </c>
      <c r="G74" t="n">
        <v>2.8</v>
      </c>
      <c r="H74" t="n">
        <v>0</v>
      </c>
      <c r="I74" t="n">
        <v>0</v>
      </c>
      <c r="J74" t="n">
        <v>0</v>
      </c>
      <c r="K74" t="n">
        <v>0</v>
      </c>
      <c r="L74" t="n">
        <v>0</v>
      </c>
      <c r="M74" t="n">
        <v>0</v>
      </c>
      <c r="N74" t="n">
        <v>0</v>
      </c>
      <c r="O74" t="n">
        <v>0</v>
      </c>
      <c r="P74" t="n">
        <v>0</v>
      </c>
      <c r="Q74" t="n">
        <v>0</v>
      </c>
      <c r="R74" s="2" t="inlineStr"/>
    </row>
    <row r="75" ht="15" customHeight="1">
      <c r="A75" t="inlineStr">
        <is>
          <t>A 24193-2025</t>
        </is>
      </c>
      <c r="B75" s="1" t="n">
        <v>45796.89591435185</v>
      </c>
      <c r="C75" s="1" t="n">
        <v>45975</v>
      </c>
      <c r="D75" t="inlineStr">
        <is>
          <t>STOCKHOLMS LÄN</t>
        </is>
      </c>
      <c r="E75" t="inlineStr">
        <is>
          <t>HANINGE</t>
        </is>
      </c>
      <c r="G75" t="n">
        <v>0.4</v>
      </c>
      <c r="H75" t="n">
        <v>0</v>
      </c>
      <c r="I75" t="n">
        <v>0</v>
      </c>
      <c r="J75" t="n">
        <v>0</v>
      </c>
      <c r="K75" t="n">
        <v>0</v>
      </c>
      <c r="L75" t="n">
        <v>0</v>
      </c>
      <c r="M75" t="n">
        <v>0</v>
      </c>
      <c r="N75" t="n">
        <v>0</v>
      </c>
      <c r="O75" t="n">
        <v>0</v>
      </c>
      <c r="P75" t="n">
        <v>0</v>
      </c>
      <c r="Q75" t="n">
        <v>0</v>
      </c>
      <c r="R75" s="2" t="inlineStr"/>
    </row>
    <row r="76" ht="15" customHeight="1">
      <c r="A76" t="inlineStr">
        <is>
          <t>A 64075-2023</t>
        </is>
      </c>
      <c r="B76" s="1" t="n">
        <v>45279</v>
      </c>
      <c r="C76" s="1" t="n">
        <v>45975</v>
      </c>
      <c r="D76" t="inlineStr">
        <is>
          <t>STOCKHOLMS LÄN</t>
        </is>
      </c>
      <c r="E76" t="inlineStr">
        <is>
          <t>HANINGE</t>
        </is>
      </c>
      <c r="G76" t="n">
        <v>2.6</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45975</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38595-2021</t>
        </is>
      </c>
      <c r="B78" s="1" t="n">
        <v>44407</v>
      </c>
      <c r="C78" s="1" t="n">
        <v>45975</v>
      </c>
      <c r="D78" t="inlineStr">
        <is>
          <t>STOCKHOLMS LÄN</t>
        </is>
      </c>
      <c r="E78" t="inlineStr">
        <is>
          <t>HANINGE</t>
        </is>
      </c>
      <c r="G78" t="n">
        <v>1.1</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45975</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45975</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50306-2023</t>
        </is>
      </c>
      <c r="B81" s="1" t="n">
        <v>45209</v>
      </c>
      <c r="C81" s="1" t="n">
        <v>45975</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c r="U81">
        <f>HYPERLINK("https://klasma.github.io/Logging_0136/knärot/A 50306-2023 karta knärot.png", "A 50306-2023")</f>
        <v/>
      </c>
      <c r="V81">
        <f>HYPERLINK("https://klasma.github.io/Logging_0136/klagomål/A 50306-2023 FSC-klagomål.docx", "A 50306-2023")</f>
        <v/>
      </c>
      <c r="W81">
        <f>HYPERLINK("https://klasma.github.io/Logging_0136/klagomålsmail/A 50306-2023 FSC-klagomål mail.docx", "A 50306-2023")</f>
        <v/>
      </c>
      <c r="X81">
        <f>HYPERLINK("https://klasma.github.io/Logging_0136/tillsyn/A 50306-2023 tillsynsbegäran.docx", "A 50306-2023")</f>
        <v/>
      </c>
      <c r="Y81">
        <f>HYPERLINK("https://klasma.github.io/Logging_0136/tillsynsmail/A 50306-2023 tillsynsbegäran mail.docx", "A 50306-2023")</f>
        <v/>
      </c>
    </row>
    <row r="82" ht="15" customHeight="1">
      <c r="A82" t="inlineStr">
        <is>
          <t>A 27596-2025</t>
        </is>
      </c>
      <c r="B82" s="1" t="n">
        <v>45813.52303240741</v>
      </c>
      <c r="C82" s="1" t="n">
        <v>45975</v>
      </c>
      <c r="D82" t="inlineStr">
        <is>
          <t>STOCKHOLMS LÄN</t>
        </is>
      </c>
      <c r="E82" t="inlineStr">
        <is>
          <t>HANINGE</t>
        </is>
      </c>
      <c r="G82" t="n">
        <v>0.1</v>
      </c>
      <c r="H82" t="n">
        <v>0</v>
      </c>
      <c r="I82" t="n">
        <v>0</v>
      </c>
      <c r="J82" t="n">
        <v>0</v>
      </c>
      <c r="K82" t="n">
        <v>0</v>
      </c>
      <c r="L82" t="n">
        <v>0</v>
      </c>
      <c r="M82" t="n">
        <v>0</v>
      </c>
      <c r="N82" t="n">
        <v>0</v>
      </c>
      <c r="O82" t="n">
        <v>0</v>
      </c>
      <c r="P82" t="n">
        <v>0</v>
      </c>
      <c r="Q82" t="n">
        <v>0</v>
      </c>
      <c r="R82" s="2" t="inlineStr"/>
    </row>
    <row r="83" ht="15" customHeight="1">
      <c r="A83" t="inlineStr">
        <is>
          <t>A 22288-2023</t>
        </is>
      </c>
      <c r="B83" s="1" t="n">
        <v>45070</v>
      </c>
      <c r="C83" s="1" t="n">
        <v>45975</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18490-2025</t>
        </is>
      </c>
      <c r="B84" s="1" t="n">
        <v>45763</v>
      </c>
      <c r="C84" s="1" t="n">
        <v>45975</v>
      </c>
      <c r="D84" t="inlineStr">
        <is>
          <t>STOCKHOLMS LÄN</t>
        </is>
      </c>
      <c r="E84" t="inlineStr">
        <is>
          <t>HANINGE</t>
        </is>
      </c>
      <c r="G84" t="n">
        <v>3</v>
      </c>
      <c r="H84" t="n">
        <v>0</v>
      </c>
      <c r="I84" t="n">
        <v>0</v>
      </c>
      <c r="J84" t="n">
        <v>0</v>
      </c>
      <c r="K84" t="n">
        <v>0</v>
      </c>
      <c r="L84" t="n">
        <v>0</v>
      </c>
      <c r="M84" t="n">
        <v>0</v>
      </c>
      <c r="N84" t="n">
        <v>0</v>
      </c>
      <c r="O84" t="n">
        <v>0</v>
      </c>
      <c r="P84" t="n">
        <v>0</v>
      </c>
      <c r="Q84" t="n">
        <v>0</v>
      </c>
      <c r="R84" s="2" t="inlineStr"/>
    </row>
    <row r="85" ht="15" customHeight="1">
      <c r="A85" t="inlineStr">
        <is>
          <t>A 33792-2023</t>
        </is>
      </c>
      <c r="B85" s="1" t="n">
        <v>45121</v>
      </c>
      <c r="C85" s="1" t="n">
        <v>45975</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row r="86" ht="15" customHeight="1">
      <c r="A86" t="inlineStr">
        <is>
          <t>A 20839-2024</t>
        </is>
      </c>
      <c r="B86" s="1" t="n">
        <v>45439.39953703704</v>
      </c>
      <c r="C86" s="1" t="n">
        <v>45975</v>
      </c>
      <c r="D86" t="inlineStr">
        <is>
          <t>STOCKHOLMS LÄN</t>
        </is>
      </c>
      <c r="E86" t="inlineStr">
        <is>
          <t>HANINGE</t>
        </is>
      </c>
      <c r="G86" t="n">
        <v>8.4</v>
      </c>
      <c r="H86" t="n">
        <v>0</v>
      </c>
      <c r="I86" t="n">
        <v>0</v>
      </c>
      <c r="J86" t="n">
        <v>0</v>
      </c>
      <c r="K86" t="n">
        <v>0</v>
      </c>
      <c r="L86" t="n">
        <v>0</v>
      </c>
      <c r="M86" t="n">
        <v>0</v>
      </c>
      <c r="N86" t="n">
        <v>0</v>
      </c>
      <c r="O86" t="n">
        <v>0</v>
      </c>
      <c r="P86" t="n">
        <v>0</v>
      </c>
      <c r="Q86" t="n">
        <v>0</v>
      </c>
      <c r="R86" s="2" t="inlineStr"/>
    </row>
    <row r="87" ht="15" customHeight="1">
      <c r="A87" t="inlineStr">
        <is>
          <t>A 64568-2023</t>
        </is>
      </c>
      <c r="B87" s="1" t="n">
        <v>45281.43164351852</v>
      </c>
      <c r="C87" s="1" t="n">
        <v>45975</v>
      </c>
      <c r="D87" t="inlineStr">
        <is>
          <t>STOCKHOLMS LÄN</t>
        </is>
      </c>
      <c r="E87" t="inlineStr">
        <is>
          <t>HANINGE</t>
        </is>
      </c>
      <c r="G87" t="n">
        <v>3.1</v>
      </c>
      <c r="H87" t="n">
        <v>0</v>
      </c>
      <c r="I87" t="n">
        <v>0</v>
      </c>
      <c r="J87" t="n">
        <v>0</v>
      </c>
      <c r="K87" t="n">
        <v>0</v>
      </c>
      <c r="L87" t="n">
        <v>0</v>
      </c>
      <c r="M87" t="n">
        <v>0</v>
      </c>
      <c r="N87" t="n">
        <v>0</v>
      </c>
      <c r="O87" t="n">
        <v>0</v>
      </c>
      <c r="P87" t="n">
        <v>0</v>
      </c>
      <c r="Q87" t="n">
        <v>0</v>
      </c>
      <c r="R87" s="2" t="inlineStr"/>
    </row>
    <row r="88" ht="15" customHeight="1">
      <c r="A88" t="inlineStr">
        <is>
          <t>A 18548-2024</t>
        </is>
      </c>
      <c r="B88" s="1" t="n">
        <v>45425.64708333334</v>
      </c>
      <c r="C88" s="1" t="n">
        <v>45975</v>
      </c>
      <c r="D88" t="inlineStr">
        <is>
          <t>STOCKHOLMS LÄN</t>
        </is>
      </c>
      <c r="E88" t="inlineStr">
        <is>
          <t>HANINGE</t>
        </is>
      </c>
      <c r="F88" t="inlineStr">
        <is>
          <t>Kommuner</t>
        </is>
      </c>
      <c r="G88" t="n">
        <v>7.3</v>
      </c>
      <c r="H88" t="n">
        <v>0</v>
      </c>
      <c r="I88" t="n">
        <v>0</v>
      </c>
      <c r="J88" t="n">
        <v>0</v>
      </c>
      <c r="K88" t="n">
        <v>0</v>
      </c>
      <c r="L88" t="n">
        <v>0</v>
      </c>
      <c r="M88" t="n">
        <v>0</v>
      </c>
      <c r="N88" t="n">
        <v>0</v>
      </c>
      <c r="O88" t="n">
        <v>0</v>
      </c>
      <c r="P88" t="n">
        <v>0</v>
      </c>
      <c r="Q88" t="n">
        <v>0</v>
      </c>
      <c r="R88" s="2" t="inlineStr"/>
    </row>
    <row r="89" ht="15" customHeight="1">
      <c r="A89" t="inlineStr">
        <is>
          <t>A 41809-2021</t>
        </is>
      </c>
      <c r="B89" s="1" t="n">
        <v>44425</v>
      </c>
      <c r="C89" s="1" t="n">
        <v>45975</v>
      </c>
      <c r="D89" t="inlineStr">
        <is>
          <t>STOCKHOLMS LÄN</t>
        </is>
      </c>
      <c r="E89" t="inlineStr">
        <is>
          <t>HANINGE</t>
        </is>
      </c>
      <c r="G89" t="n">
        <v>0.9</v>
      </c>
      <c r="H89" t="n">
        <v>0</v>
      </c>
      <c r="I89" t="n">
        <v>0</v>
      </c>
      <c r="J89" t="n">
        <v>0</v>
      </c>
      <c r="K89" t="n">
        <v>0</v>
      </c>
      <c r="L89" t="n">
        <v>0</v>
      </c>
      <c r="M89" t="n">
        <v>0</v>
      </c>
      <c r="N89" t="n">
        <v>0</v>
      </c>
      <c r="O89" t="n">
        <v>0</v>
      </c>
      <c r="P89" t="n">
        <v>0</v>
      </c>
      <c r="Q89" t="n">
        <v>0</v>
      </c>
      <c r="R89" s="2" t="inlineStr"/>
    </row>
    <row r="90" ht="15" customHeight="1">
      <c r="A90" t="inlineStr">
        <is>
          <t>A 68894-2021</t>
        </is>
      </c>
      <c r="B90" s="1" t="n">
        <v>44526</v>
      </c>
      <c r="C90" s="1" t="n">
        <v>45975</v>
      </c>
      <c r="D90" t="inlineStr">
        <is>
          <t>STOCKHOLMS LÄN</t>
        </is>
      </c>
      <c r="E90" t="inlineStr">
        <is>
          <t>HANINGE</t>
        </is>
      </c>
      <c r="G90" t="n">
        <v>1.2</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45975</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45975</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32948-2025</t>
        </is>
      </c>
      <c r="B93" s="1" t="n">
        <v>45839</v>
      </c>
      <c r="C93" s="1" t="n">
        <v>45975</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14264-2025</t>
        </is>
      </c>
      <c r="B94" s="1" t="n">
        <v>45740.6340162037</v>
      </c>
      <c r="C94" s="1" t="n">
        <v>45975</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13046-2022</t>
        </is>
      </c>
      <c r="B95" s="1" t="n">
        <v>44643</v>
      </c>
      <c r="C95" s="1" t="n">
        <v>45975</v>
      </c>
      <c r="D95" t="inlineStr">
        <is>
          <t>STOCKHOLMS LÄN</t>
        </is>
      </c>
      <c r="E95" t="inlineStr">
        <is>
          <t>HANINGE</t>
        </is>
      </c>
      <c r="G95" t="n">
        <v>2.3</v>
      </c>
      <c r="H95" t="n">
        <v>0</v>
      </c>
      <c r="I95" t="n">
        <v>0</v>
      </c>
      <c r="J95" t="n">
        <v>0</v>
      </c>
      <c r="K95" t="n">
        <v>0</v>
      </c>
      <c r="L95" t="n">
        <v>0</v>
      </c>
      <c r="M95" t="n">
        <v>0</v>
      </c>
      <c r="N95" t="n">
        <v>0</v>
      </c>
      <c r="O95" t="n">
        <v>0</v>
      </c>
      <c r="P95" t="n">
        <v>0</v>
      </c>
      <c r="Q95" t="n">
        <v>0</v>
      </c>
      <c r="R95" s="2" t="inlineStr"/>
    </row>
    <row r="96">
      <c r="A96" t="inlineStr">
        <is>
          <t>A 8078-2024</t>
        </is>
      </c>
      <c r="B96" s="1" t="n">
        <v>45351.43737268518</v>
      </c>
      <c r="C96" s="1" t="n">
        <v>45975</v>
      </c>
      <c r="D96" t="inlineStr">
        <is>
          <t>STOCKHOLMS LÄN</t>
        </is>
      </c>
      <c r="E96" t="inlineStr">
        <is>
          <t>HANINGE</t>
        </is>
      </c>
      <c r="F96" t="inlineStr">
        <is>
          <t>Kommuner</t>
        </is>
      </c>
      <c r="G96" t="n">
        <v>1.4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2025-11-14T10:13:56Z</dcterms:created>
  <dcterms:modified xmlns:dcterms="http://purl.org/dc/terms/" xmlns:xsi="http://www.w3.org/2001/XMLSchema-instance" xsi:type="dcterms:W3CDTF">2025-11-14T10:13:56Z</dcterms:modified>
</cp:coreProperties>
</file>