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45739</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45739</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45739</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45739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45739</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45739</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45739</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45739</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45739</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45739</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45739</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45739</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45739</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45739</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45739</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45739</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45739</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45739</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45739</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45739</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45739</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45739</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45739</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45739</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45739</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45739</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45739</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45739</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45739</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21187-2020</t>
        </is>
      </c>
      <c r="B31" s="1" t="n">
        <v>43951</v>
      </c>
      <c r="C31" s="1" t="n">
        <v>45739</v>
      </c>
      <c r="D31" t="inlineStr">
        <is>
          <t>STOCKHOLMS LÄN</t>
        </is>
      </c>
      <c r="E31" t="inlineStr">
        <is>
          <t>HANINGE</t>
        </is>
      </c>
      <c r="G31" t="n">
        <v>1.2</v>
      </c>
      <c r="H31" t="n">
        <v>0</v>
      </c>
      <c r="I31" t="n">
        <v>1</v>
      </c>
      <c r="J31" t="n">
        <v>0</v>
      </c>
      <c r="K31" t="n">
        <v>1</v>
      </c>
      <c r="L31" t="n">
        <v>0</v>
      </c>
      <c r="M31" t="n">
        <v>0</v>
      </c>
      <c r="N31" t="n">
        <v>0</v>
      </c>
      <c r="O31" t="n">
        <v>1</v>
      </c>
      <c r="P31" t="n">
        <v>1</v>
      </c>
      <c r="Q31" t="n">
        <v>2</v>
      </c>
      <c r="R31" s="2" t="inlineStr">
        <is>
          <t>Fläckfingersvamp
Granbarkgnagare</t>
        </is>
      </c>
      <c r="S31">
        <f>HYPERLINK("https://klasma.github.io/Logging_0136/artfynd/A 21187-2020 artfynd.xlsx", "A 21187-2020")</f>
        <v/>
      </c>
      <c r="T31">
        <f>HYPERLINK("https://klasma.github.io/Logging_0136/kartor/A 21187-2020 karta.png", "A 21187-2020")</f>
        <v/>
      </c>
      <c r="V31">
        <f>HYPERLINK("https://klasma.github.io/Logging_0136/klagomål/A 21187-2020 FSC-klagomål.docx", "A 21187-2020")</f>
        <v/>
      </c>
      <c r="W31">
        <f>HYPERLINK("https://klasma.github.io/Logging_0136/klagomålsmail/A 21187-2020 FSC-klagomål mail.docx", "A 21187-2020")</f>
        <v/>
      </c>
      <c r="X31">
        <f>HYPERLINK("https://klasma.github.io/Logging_0136/tillsyn/A 21187-2020 tillsynsbegäran.docx", "A 21187-2020")</f>
        <v/>
      </c>
      <c r="Y31">
        <f>HYPERLINK("https://klasma.github.io/Logging_0136/tillsynsmail/A 21187-2020 tillsynsbegäran mail.docx", "A 21187-2020")</f>
        <v/>
      </c>
    </row>
    <row r="32" ht="15" customHeight="1">
      <c r="A32" t="inlineStr">
        <is>
          <t>A 53858-2020</t>
        </is>
      </c>
      <c r="B32" s="1" t="n">
        <v>44125</v>
      </c>
      <c r="C32" s="1" t="n">
        <v>45739</v>
      </c>
      <c r="D32" t="inlineStr">
        <is>
          <t>STOCKHOLMS LÄN</t>
        </is>
      </c>
      <c r="E32" t="inlineStr">
        <is>
          <t>HANINGE</t>
        </is>
      </c>
      <c r="G32" t="n">
        <v>18.5</v>
      </c>
      <c r="H32" t="n">
        <v>2</v>
      </c>
      <c r="I32" t="n">
        <v>1</v>
      </c>
      <c r="J32" t="n">
        <v>0</v>
      </c>
      <c r="K32" t="n">
        <v>0</v>
      </c>
      <c r="L32" t="n">
        <v>0</v>
      </c>
      <c r="M32" t="n">
        <v>0</v>
      </c>
      <c r="N32" t="n">
        <v>0</v>
      </c>
      <c r="O32" t="n">
        <v>0</v>
      </c>
      <c r="P32" t="n">
        <v>0</v>
      </c>
      <c r="Q32" t="n">
        <v>2</v>
      </c>
      <c r="R32" s="2" t="inlineStr">
        <is>
          <t>Korallrot
Fläcknycklar</t>
        </is>
      </c>
      <c r="S32">
        <f>HYPERLINK("https://klasma.github.io/Logging_0136/artfynd/A 53858-2020 artfynd.xlsx", "A 53858-2020")</f>
        <v/>
      </c>
      <c r="T32">
        <f>HYPERLINK("https://klasma.github.io/Logging_0136/kartor/A 53858-2020 karta.png", "A 53858-2020")</f>
        <v/>
      </c>
      <c r="V32">
        <f>HYPERLINK("https://klasma.github.io/Logging_0136/klagomål/A 53858-2020 FSC-klagomål.docx", "A 53858-2020")</f>
        <v/>
      </c>
      <c r="W32">
        <f>HYPERLINK("https://klasma.github.io/Logging_0136/klagomålsmail/A 53858-2020 FSC-klagomål mail.docx", "A 53858-2020")</f>
        <v/>
      </c>
      <c r="X32">
        <f>HYPERLINK("https://klasma.github.io/Logging_0136/tillsyn/A 53858-2020 tillsynsbegäran.docx", "A 53858-2020")</f>
        <v/>
      </c>
      <c r="Y32">
        <f>HYPERLINK("https://klasma.github.io/Logging_0136/tillsynsmail/A 53858-2020 tillsynsbegäran mail.docx", "A 53858-2020")</f>
        <v/>
      </c>
    </row>
    <row r="33" ht="15" customHeight="1">
      <c r="A33" t="inlineStr">
        <is>
          <t>A 14729-2023</t>
        </is>
      </c>
      <c r="B33" s="1" t="n">
        <v>45014</v>
      </c>
      <c r="C33" s="1" t="n">
        <v>45739</v>
      </c>
      <c r="D33" t="inlineStr">
        <is>
          <t>STOCKHOLMS LÄN</t>
        </is>
      </c>
      <c r="E33" t="inlineStr">
        <is>
          <t>HANINGE</t>
        </is>
      </c>
      <c r="G33" t="n">
        <v>0.2</v>
      </c>
      <c r="H33" t="n">
        <v>0</v>
      </c>
      <c r="I33" t="n">
        <v>1</v>
      </c>
      <c r="J33" t="n">
        <v>1</v>
      </c>
      <c r="K33" t="n">
        <v>0</v>
      </c>
      <c r="L33" t="n">
        <v>0</v>
      </c>
      <c r="M33" t="n">
        <v>0</v>
      </c>
      <c r="N33" t="n">
        <v>0</v>
      </c>
      <c r="O33" t="n">
        <v>1</v>
      </c>
      <c r="P33" t="n">
        <v>0</v>
      </c>
      <c r="Q33" t="n">
        <v>2</v>
      </c>
      <c r="R33" s="2" t="inlineStr">
        <is>
          <t>Ullticka
Mindre märgborre</t>
        </is>
      </c>
      <c r="S33">
        <f>HYPERLINK("https://klasma.github.io/Logging_0136/artfynd/A 14729-2023 artfynd.xlsx", "A 14729-2023")</f>
        <v/>
      </c>
      <c r="T33">
        <f>HYPERLINK("https://klasma.github.io/Logging_0136/kartor/A 14729-2023 karta.png", "A 14729-2023")</f>
        <v/>
      </c>
      <c r="V33">
        <f>HYPERLINK("https://klasma.github.io/Logging_0136/klagomål/A 14729-2023 FSC-klagomål.docx", "A 14729-2023")</f>
        <v/>
      </c>
      <c r="W33">
        <f>HYPERLINK("https://klasma.github.io/Logging_0136/klagomålsmail/A 14729-2023 FSC-klagomål mail.docx", "A 14729-2023")</f>
        <v/>
      </c>
      <c r="X33">
        <f>HYPERLINK("https://klasma.github.io/Logging_0136/tillsyn/A 14729-2023 tillsynsbegäran.docx", "A 14729-2023")</f>
        <v/>
      </c>
      <c r="Y33">
        <f>HYPERLINK("https://klasma.github.io/Logging_0136/tillsynsmail/A 14729-2023 tillsynsbegäran mail.docx", "A 14729-2023")</f>
        <v/>
      </c>
    </row>
    <row r="34" ht="15" customHeight="1">
      <c r="A34" t="inlineStr">
        <is>
          <t>A 60213-2023</t>
        </is>
      </c>
      <c r="B34" s="1" t="n">
        <v>45258</v>
      </c>
      <c r="C34" s="1" t="n">
        <v>45739</v>
      </c>
      <c r="D34" t="inlineStr">
        <is>
          <t>STOCKHOLMS LÄN</t>
        </is>
      </c>
      <c r="E34" t="inlineStr">
        <is>
          <t>HANINGE</t>
        </is>
      </c>
      <c r="G34" t="n">
        <v>3.4</v>
      </c>
      <c r="H34" t="n">
        <v>1</v>
      </c>
      <c r="I34" t="n">
        <v>1</v>
      </c>
      <c r="J34" t="n">
        <v>1</v>
      </c>
      <c r="K34" t="n">
        <v>0</v>
      </c>
      <c r="L34" t="n">
        <v>0</v>
      </c>
      <c r="M34" t="n">
        <v>0</v>
      </c>
      <c r="N34" t="n">
        <v>0</v>
      </c>
      <c r="O34" t="n">
        <v>1</v>
      </c>
      <c r="P34" t="n">
        <v>0</v>
      </c>
      <c r="Q34" t="n">
        <v>2</v>
      </c>
      <c r="R34" s="2" t="inlineStr">
        <is>
          <t>Granticka
Grön sköldmossa</t>
        </is>
      </c>
      <c r="S34">
        <f>HYPERLINK("https://klasma.github.io/Logging_0136/artfynd/A 60213-2023 artfynd.xlsx", "A 60213-2023")</f>
        <v/>
      </c>
      <c r="T34">
        <f>HYPERLINK("https://klasma.github.io/Logging_0136/kartor/A 60213-2023 karta.png", "A 60213-2023")</f>
        <v/>
      </c>
      <c r="V34">
        <f>HYPERLINK("https://klasma.github.io/Logging_0136/klagomål/A 60213-2023 FSC-klagomål.docx", "A 60213-2023")</f>
        <v/>
      </c>
      <c r="W34">
        <f>HYPERLINK("https://klasma.github.io/Logging_0136/klagomålsmail/A 60213-2023 FSC-klagomål mail.docx", "A 60213-2023")</f>
        <v/>
      </c>
      <c r="X34">
        <f>HYPERLINK("https://klasma.github.io/Logging_0136/tillsyn/A 60213-2023 tillsynsbegäran.docx", "A 60213-2023")</f>
        <v/>
      </c>
      <c r="Y34">
        <f>HYPERLINK("https://klasma.github.io/Logging_0136/tillsynsmail/A 60213-2023 tillsynsbegäran mail.docx", "A 60213-2023")</f>
        <v/>
      </c>
    </row>
    <row r="35" ht="15" customHeight="1">
      <c r="A35" t="inlineStr">
        <is>
          <t>A 60375-2023</t>
        </is>
      </c>
      <c r="B35" s="1" t="n">
        <v>45259</v>
      </c>
      <c r="C35" s="1" t="n">
        <v>45739</v>
      </c>
      <c r="D35" t="inlineStr">
        <is>
          <t>STOCKHOLMS LÄN</t>
        </is>
      </c>
      <c r="E35" t="inlineStr">
        <is>
          <t>HANINGE</t>
        </is>
      </c>
      <c r="G35" t="n">
        <v>2.1</v>
      </c>
      <c r="H35" t="n">
        <v>0</v>
      </c>
      <c r="I35" t="n">
        <v>1</v>
      </c>
      <c r="J35" t="n">
        <v>1</v>
      </c>
      <c r="K35" t="n">
        <v>0</v>
      </c>
      <c r="L35" t="n">
        <v>0</v>
      </c>
      <c r="M35" t="n">
        <v>0</v>
      </c>
      <c r="N35" t="n">
        <v>0</v>
      </c>
      <c r="O35" t="n">
        <v>1</v>
      </c>
      <c r="P35" t="n">
        <v>0</v>
      </c>
      <c r="Q35" t="n">
        <v>2</v>
      </c>
      <c r="R35" s="2" t="inlineStr">
        <is>
          <t>Granticka
Granbarkgnagare</t>
        </is>
      </c>
      <c r="S35">
        <f>HYPERLINK("https://klasma.github.io/Logging_0136/artfynd/A 60375-2023 artfynd.xlsx", "A 60375-2023")</f>
        <v/>
      </c>
      <c r="T35">
        <f>HYPERLINK("https://klasma.github.io/Logging_0136/kartor/A 60375-2023 karta.png", "A 60375-2023")</f>
        <v/>
      </c>
      <c r="V35">
        <f>HYPERLINK("https://klasma.github.io/Logging_0136/klagomål/A 60375-2023 FSC-klagomål.docx", "A 60375-2023")</f>
        <v/>
      </c>
      <c r="W35">
        <f>HYPERLINK("https://klasma.github.io/Logging_0136/klagomålsmail/A 60375-2023 FSC-klagomål mail.docx", "A 60375-2023")</f>
        <v/>
      </c>
      <c r="X35">
        <f>HYPERLINK("https://klasma.github.io/Logging_0136/tillsyn/A 60375-2023 tillsynsbegäran.docx", "A 60375-2023")</f>
        <v/>
      </c>
      <c r="Y35">
        <f>HYPERLINK("https://klasma.github.io/Logging_0136/tillsynsmail/A 60375-2023 tillsynsbegäran mail.docx", "A 60375-2023")</f>
        <v/>
      </c>
    </row>
    <row r="36" ht="15" customHeight="1">
      <c r="A36" t="inlineStr">
        <is>
          <t>A 12662-2024</t>
        </is>
      </c>
      <c r="B36" s="1" t="n">
        <v>45384</v>
      </c>
      <c r="C36" s="1" t="n">
        <v>45739</v>
      </c>
      <c r="D36" t="inlineStr">
        <is>
          <t>STOCKHOLMS LÄN</t>
        </is>
      </c>
      <c r="E36" t="inlineStr">
        <is>
          <t>HANINGE</t>
        </is>
      </c>
      <c r="G36" t="n">
        <v>1.8</v>
      </c>
      <c r="H36" t="n">
        <v>1</v>
      </c>
      <c r="I36" t="n">
        <v>1</v>
      </c>
      <c r="J36" t="n">
        <v>0</v>
      </c>
      <c r="K36" t="n">
        <v>0</v>
      </c>
      <c r="L36" t="n">
        <v>0</v>
      </c>
      <c r="M36" t="n">
        <v>0</v>
      </c>
      <c r="N36" t="n">
        <v>0</v>
      </c>
      <c r="O36" t="n">
        <v>0</v>
      </c>
      <c r="P36" t="n">
        <v>0</v>
      </c>
      <c r="Q36" t="n">
        <v>2</v>
      </c>
      <c r="R36" s="2" t="inlineStr">
        <is>
          <t>Skogshakmossa
Blåsippa</t>
        </is>
      </c>
      <c r="S36">
        <f>HYPERLINK("https://klasma.github.io/Logging_0136/artfynd/A 12662-2024 artfynd.xlsx", "A 12662-2024")</f>
        <v/>
      </c>
      <c r="T36">
        <f>HYPERLINK("https://klasma.github.io/Logging_0136/kartor/A 12662-2024 karta.png", "A 12662-2024")</f>
        <v/>
      </c>
      <c r="V36">
        <f>HYPERLINK("https://klasma.github.io/Logging_0136/klagomål/A 12662-2024 FSC-klagomål.docx", "A 12662-2024")</f>
        <v/>
      </c>
      <c r="W36">
        <f>HYPERLINK("https://klasma.github.io/Logging_0136/klagomålsmail/A 12662-2024 FSC-klagomål mail.docx", "A 12662-2024")</f>
        <v/>
      </c>
      <c r="X36">
        <f>HYPERLINK("https://klasma.github.io/Logging_0136/tillsyn/A 12662-2024 tillsynsbegäran.docx", "A 12662-2024")</f>
        <v/>
      </c>
      <c r="Y36">
        <f>HYPERLINK("https://klasma.github.io/Logging_0136/tillsynsmail/A 12662-2024 tillsynsbegäran mail.docx", "A 12662-2024")</f>
        <v/>
      </c>
    </row>
    <row r="37" ht="15" customHeight="1">
      <c r="A37" t="inlineStr">
        <is>
          <t>A 29513-2019</t>
        </is>
      </c>
      <c r="B37" s="1" t="n">
        <v>43627</v>
      </c>
      <c r="C37" s="1" t="n">
        <v>45739</v>
      </c>
      <c r="D37" t="inlineStr">
        <is>
          <t>STOCKHOLMS LÄN</t>
        </is>
      </c>
      <c r="E37" t="inlineStr">
        <is>
          <t>HANINGE</t>
        </is>
      </c>
      <c r="G37" t="n">
        <v>2.1</v>
      </c>
      <c r="H37" t="n">
        <v>1</v>
      </c>
      <c r="I37" t="n">
        <v>0</v>
      </c>
      <c r="J37" t="n">
        <v>1</v>
      </c>
      <c r="K37" t="n">
        <v>0</v>
      </c>
      <c r="L37" t="n">
        <v>0</v>
      </c>
      <c r="M37" t="n">
        <v>0</v>
      </c>
      <c r="N37" t="n">
        <v>0</v>
      </c>
      <c r="O37" t="n">
        <v>1</v>
      </c>
      <c r="P37" t="n">
        <v>0</v>
      </c>
      <c r="Q37" t="n">
        <v>1</v>
      </c>
      <c r="R37" s="2" t="inlineStr">
        <is>
          <t>Spillkråka</t>
        </is>
      </c>
      <c r="S37">
        <f>HYPERLINK("https://klasma.github.io/Logging_0136/artfynd/A 29513-2019 artfynd.xlsx", "A 29513-2019")</f>
        <v/>
      </c>
      <c r="T37">
        <f>HYPERLINK("https://klasma.github.io/Logging_0136/kartor/A 29513-2019 karta.png", "A 29513-2019")</f>
        <v/>
      </c>
      <c r="V37">
        <f>HYPERLINK("https://klasma.github.io/Logging_0136/klagomål/A 29513-2019 FSC-klagomål.docx", "A 29513-2019")</f>
        <v/>
      </c>
      <c r="W37">
        <f>HYPERLINK("https://klasma.github.io/Logging_0136/klagomålsmail/A 29513-2019 FSC-klagomål mail.docx", "A 29513-2019")</f>
        <v/>
      </c>
      <c r="X37">
        <f>HYPERLINK("https://klasma.github.io/Logging_0136/tillsyn/A 29513-2019 tillsynsbegäran.docx", "A 29513-2019")</f>
        <v/>
      </c>
      <c r="Y37">
        <f>HYPERLINK("https://klasma.github.io/Logging_0136/tillsynsmail/A 29513-2019 tillsynsbegäran mail.docx", "A 29513-2019")</f>
        <v/>
      </c>
      <c r="Z37">
        <f>HYPERLINK("https://klasma.github.io/Logging_0136/fåglar/A 29513-2019 prioriterade fågelarter.docx", "A 29513-2019")</f>
        <v/>
      </c>
    </row>
    <row r="38" ht="15" customHeight="1">
      <c r="A38" t="inlineStr">
        <is>
          <t>A 68231-2019</t>
        </is>
      </c>
      <c r="B38" s="1" t="n">
        <v>43817</v>
      </c>
      <c r="C38" s="1" t="n">
        <v>45739</v>
      </c>
      <c r="D38" t="inlineStr">
        <is>
          <t>STOCKHOLMS LÄN</t>
        </is>
      </c>
      <c r="E38" t="inlineStr">
        <is>
          <t>HANINGE</t>
        </is>
      </c>
      <c r="F38" t="inlineStr">
        <is>
          <t>Övriga statliga verk och myndigheter</t>
        </is>
      </c>
      <c r="G38" t="n">
        <v>80.5</v>
      </c>
      <c r="H38" t="n">
        <v>1</v>
      </c>
      <c r="I38" t="n">
        <v>0</v>
      </c>
      <c r="J38" t="n">
        <v>1</v>
      </c>
      <c r="K38" t="n">
        <v>0</v>
      </c>
      <c r="L38" t="n">
        <v>0</v>
      </c>
      <c r="M38" t="n">
        <v>0</v>
      </c>
      <c r="N38" t="n">
        <v>0</v>
      </c>
      <c r="O38" t="n">
        <v>1</v>
      </c>
      <c r="P38" t="n">
        <v>0</v>
      </c>
      <c r="Q38" t="n">
        <v>1</v>
      </c>
      <c r="R38" s="2" t="inlineStr">
        <is>
          <t>Havsörn</t>
        </is>
      </c>
      <c r="S38">
        <f>HYPERLINK("https://klasma.github.io/Logging_0136/artfynd/A 68231-2019 artfynd.xlsx", "A 68231-2019")</f>
        <v/>
      </c>
      <c r="T38">
        <f>HYPERLINK("https://klasma.github.io/Logging_0136/kartor/A 68231-2019 karta.png", "A 68231-2019")</f>
        <v/>
      </c>
      <c r="V38">
        <f>HYPERLINK("https://klasma.github.io/Logging_0136/klagomål/A 68231-2019 FSC-klagomål.docx", "A 68231-2019")</f>
        <v/>
      </c>
      <c r="W38">
        <f>HYPERLINK("https://klasma.github.io/Logging_0136/klagomålsmail/A 68231-2019 FSC-klagomål mail.docx", "A 68231-2019")</f>
        <v/>
      </c>
      <c r="X38">
        <f>HYPERLINK("https://klasma.github.io/Logging_0136/tillsyn/A 68231-2019 tillsynsbegäran.docx", "A 68231-2019")</f>
        <v/>
      </c>
      <c r="Y38">
        <f>HYPERLINK("https://klasma.github.io/Logging_0136/tillsynsmail/A 68231-2019 tillsynsbegäran mail.docx", "A 68231-2019")</f>
        <v/>
      </c>
      <c r="Z38">
        <f>HYPERLINK("https://klasma.github.io/Logging_0136/fåglar/A 68231-2019 prioriterade fågelarter.docx", "A 68231-2019")</f>
        <v/>
      </c>
    </row>
    <row r="39" ht="15" customHeight="1">
      <c r="A39" t="inlineStr">
        <is>
          <t>A 15312-2020</t>
        </is>
      </c>
      <c r="B39" s="1" t="n">
        <v>43913</v>
      </c>
      <c r="C39" s="1" t="n">
        <v>45739</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45739</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45739</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45739</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45739</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45739</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45739</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45739</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45739</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45739</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45739</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HYPERLINK("https://klasma.github.io/Logging_0136/artfynd/A 13939-2025 artfynd.xlsx", "A 13939-2025")</f>
        <v/>
      </c>
      <c r="T49">
        <f>HYPERLINK("https://klasma.github.io/Logging_0136/kartor/A 13939-2025 karta.png", "A 13939-2025")</f>
        <v/>
      </c>
      <c r="V49">
        <f>HYPERLINK("https://klasma.github.io/Logging_0136/klagomål/A 13939-2025 FSC-klagomål.docx", "A 13939-2025")</f>
        <v/>
      </c>
      <c r="W49">
        <f>HYPERLINK("https://klasma.github.io/Logging_0136/klagomålsmail/A 13939-2025 FSC-klagomål mail.docx", "A 13939-2025")</f>
        <v/>
      </c>
      <c r="X49">
        <f>HYPERLINK("https://klasma.github.io/Logging_0136/tillsyn/A 13939-2025 tillsynsbegäran.docx", "A 13939-2025")</f>
        <v/>
      </c>
      <c r="Y49">
        <f>HYPERLINK("https://klasma.github.io/Logging_0136/tillsynsmail/A 13939-2025 tillsynsbegäran mail.docx", "A 13939-2025")</f>
        <v/>
      </c>
    </row>
    <row r="50" ht="15" customHeight="1">
      <c r="A50" t="inlineStr">
        <is>
          <t>A 34656-2019</t>
        </is>
      </c>
      <c r="B50" s="1" t="n">
        <v>43657</v>
      </c>
      <c r="C50" s="1" t="n">
        <v>45739</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45739</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45739</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45739</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45739</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45739</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45739</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45739</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45739</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45739</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45739</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45739</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45739</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45739</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45739</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45739</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45739</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45739</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45739</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45739</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45739</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45739</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45739</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45739</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45739</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45739</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45739</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45739</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45739</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45739</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45739</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45739</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45739</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45739</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45739</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45739</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45739</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45739</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45739</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45739</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45739</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45739</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45739</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45739</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45739</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45739</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45739</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45739</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45739</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45739</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45739</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45739</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45739</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45739</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45739</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45739</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45739</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45739</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45739</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45739</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45739</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45739</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45739</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45739</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45739</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45739</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45739</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45739</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45739</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45739</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45739</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45739</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45739</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45739</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45739</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45739</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45739</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45739</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45739</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45739</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45739</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45739</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45739</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45739</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45739</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45739</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45739</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45739</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45739</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45739</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45739</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45739</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45739</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45739</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45739</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45739</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45739</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45739</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45739</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c r="A149" t="inlineStr">
        <is>
          <t>A 7328-2025</t>
        </is>
      </c>
      <c r="B149" s="1" t="n">
        <v>45703</v>
      </c>
      <c r="C149" s="1" t="n">
        <v>45739</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2025-03-23T17:21:01Z</dcterms:created>
  <dcterms:modified xmlns:dcterms="http://purl.org/dc/terms/" xmlns:xsi="http://www.w3.org/2001/XMLSchema-instance" xsi:type="dcterms:W3CDTF">2025-03-23T17:21:01Z</dcterms:modified>
</cp:coreProperties>
</file>