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45679</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45679</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45679</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45679</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45679</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2228-2025</t>
        </is>
      </c>
      <c r="B17" s="1" t="n">
        <v>45672</v>
      </c>
      <c r="C17" s="1" t="n">
        <v>45679</v>
      </c>
      <c r="D17" t="inlineStr">
        <is>
          <t>STOCKHOLMS LÄN</t>
        </is>
      </c>
      <c r="E17" t="inlineStr">
        <is>
          <t>HANINGE</t>
        </is>
      </c>
      <c r="G17" t="n">
        <v>1.9</v>
      </c>
      <c r="H17" t="n">
        <v>3</v>
      </c>
      <c r="I17" t="n">
        <v>3</v>
      </c>
      <c r="J17" t="n">
        <v>0</v>
      </c>
      <c r="K17" t="n">
        <v>0</v>
      </c>
      <c r="L17" t="n">
        <v>0</v>
      </c>
      <c r="M17" t="n">
        <v>0</v>
      </c>
      <c r="N17" t="n">
        <v>0</v>
      </c>
      <c r="O17" t="n">
        <v>0</v>
      </c>
      <c r="P17" t="n">
        <v>0</v>
      </c>
      <c r="Q17" t="n">
        <v>6</v>
      </c>
      <c r="R17" s="2" t="inlineStr">
        <is>
          <t>Granbarkgnagare
Mindre märgborre
Sårläka
Vanlig padda
Blåsippa
Gullviva</t>
        </is>
      </c>
      <c r="S17">
        <f>HYPERLINK("https://klasma.github.io/Logging_0136/artfynd/A 2228-2025 artfynd.xlsx", "A 2228-2025")</f>
        <v/>
      </c>
      <c r="T17">
        <f>HYPERLINK("https://klasma.github.io/Logging_0136/kartor/A 2228-2025 karta.png", "A 2228-2025")</f>
        <v/>
      </c>
      <c r="V17">
        <f>HYPERLINK("https://klasma.github.io/Logging_0136/klagomål/A 2228-2025 FSC-klagomål.docx", "A 2228-2025")</f>
        <v/>
      </c>
      <c r="W17">
        <f>HYPERLINK("https://klasma.github.io/Logging_0136/klagomålsmail/A 2228-2025 FSC-klagomål mail.docx", "A 2228-2025")</f>
        <v/>
      </c>
      <c r="X17">
        <f>HYPERLINK("https://klasma.github.io/Logging_0136/tillsyn/A 2228-2025 tillsynsbegäran.docx", "A 2228-2025")</f>
        <v/>
      </c>
      <c r="Y17">
        <f>HYPERLINK("https://klasma.github.io/Logging_0136/tillsynsmail/A 2228-2025 tillsynsbegäran mail.docx", "A 2228-2025")</f>
        <v/>
      </c>
    </row>
    <row r="18" ht="15" customHeight="1">
      <c r="A18" t="inlineStr">
        <is>
          <t>A 32532-2020</t>
        </is>
      </c>
      <c r="B18" s="1" t="n">
        <v>44018</v>
      </c>
      <c r="C18" s="1" t="n">
        <v>45679</v>
      </c>
      <c r="D18" t="inlineStr">
        <is>
          <t>STOCKHOLMS LÄN</t>
        </is>
      </c>
      <c r="E18" t="inlineStr">
        <is>
          <t>HANINGE</t>
        </is>
      </c>
      <c r="F18" t="inlineStr">
        <is>
          <t>Kommuner</t>
        </is>
      </c>
      <c r="G18" t="n">
        <v>2.9</v>
      </c>
      <c r="H18" t="n">
        <v>3</v>
      </c>
      <c r="I18" t="n">
        <v>2</v>
      </c>
      <c r="J18" t="n">
        <v>2</v>
      </c>
      <c r="K18" t="n">
        <v>0</v>
      </c>
      <c r="L18" t="n">
        <v>0</v>
      </c>
      <c r="M18" t="n">
        <v>0</v>
      </c>
      <c r="N18" t="n">
        <v>0</v>
      </c>
      <c r="O18" t="n">
        <v>2</v>
      </c>
      <c r="P18" t="n">
        <v>0</v>
      </c>
      <c r="Q18" t="n">
        <v>5</v>
      </c>
      <c r="R18" s="2" t="inlineStr">
        <is>
          <t>Spillkråka
Talltita
Granbarkgnagare
Vedticka
Revlummer</t>
        </is>
      </c>
      <c r="S18">
        <f>HYPERLINK("https://klasma.github.io/Logging_0136/artfynd/A 32532-2020 artfynd.xlsx", "A 32532-2020")</f>
        <v/>
      </c>
      <c r="T18">
        <f>HYPERLINK("https://klasma.github.io/Logging_0136/kartor/A 32532-2020 karta.png", "A 32532-2020")</f>
        <v/>
      </c>
      <c r="V18">
        <f>HYPERLINK("https://klasma.github.io/Logging_0136/klagomål/A 32532-2020 FSC-klagomål.docx", "A 32532-2020")</f>
        <v/>
      </c>
      <c r="W18">
        <f>HYPERLINK("https://klasma.github.io/Logging_0136/klagomålsmail/A 32532-2020 FSC-klagomål mail.docx", "A 32532-2020")</f>
        <v/>
      </c>
      <c r="X18">
        <f>HYPERLINK("https://klasma.github.io/Logging_0136/tillsyn/A 32532-2020 tillsynsbegäran.docx", "A 32532-2020")</f>
        <v/>
      </c>
      <c r="Y18">
        <f>HYPERLINK("https://klasma.github.io/Logging_0136/tillsynsmail/A 32532-2020 tillsynsbegäran mail.docx", "A 32532-2020")</f>
        <v/>
      </c>
      <c r="Z18">
        <f>HYPERLINK("https://klasma.github.io/Logging_0136/fåglar/A 32532-2020 prioriterade fågelarter.docx", "A 32532-2020")</f>
        <v/>
      </c>
    </row>
    <row r="19" ht="15" customHeight="1">
      <c r="A19" t="inlineStr">
        <is>
          <t>A 13892-2020</t>
        </is>
      </c>
      <c r="B19" s="1" t="n">
        <v>43906</v>
      </c>
      <c r="C19" s="1" t="n">
        <v>45679</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45679</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45679</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45679</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21978-2024</t>
        </is>
      </c>
      <c r="B23" s="1" t="n">
        <v>45443</v>
      </c>
      <c r="C23" s="1" t="n">
        <v>45679</v>
      </c>
      <c r="D23" t="inlineStr">
        <is>
          <t>STOCKHOLMS LÄN</t>
        </is>
      </c>
      <c r="E23" t="inlineStr">
        <is>
          <t>HANINGE</t>
        </is>
      </c>
      <c r="G23" t="n">
        <v>12.4</v>
      </c>
      <c r="H23" t="n">
        <v>2</v>
      </c>
      <c r="I23" t="n">
        <v>1</v>
      </c>
      <c r="J23" t="n">
        <v>1</v>
      </c>
      <c r="K23" t="n">
        <v>0</v>
      </c>
      <c r="L23" t="n">
        <v>0</v>
      </c>
      <c r="M23" t="n">
        <v>0</v>
      </c>
      <c r="N23" t="n">
        <v>0</v>
      </c>
      <c r="O23" t="n">
        <v>1</v>
      </c>
      <c r="P23" t="n">
        <v>0</v>
      </c>
      <c r="Q23" t="n">
        <v>3</v>
      </c>
      <c r="R23" s="2" t="inlineStr">
        <is>
          <t>Granticka
Grön sköldmossa
Vanlig snok</t>
        </is>
      </c>
      <c r="S23">
        <f>HYPERLINK("https://klasma.github.io/Logging_0136/artfynd/A 21978-2024 artfynd.xlsx", "A 21978-2024")</f>
        <v/>
      </c>
      <c r="T23">
        <f>HYPERLINK("https://klasma.github.io/Logging_0136/kartor/A 21978-2024 karta.png", "A 21978-2024")</f>
        <v/>
      </c>
      <c r="V23">
        <f>HYPERLINK("https://klasma.github.io/Logging_0136/klagomål/A 21978-2024 FSC-klagomål.docx", "A 21978-2024")</f>
        <v/>
      </c>
      <c r="W23">
        <f>HYPERLINK("https://klasma.github.io/Logging_0136/klagomålsmail/A 21978-2024 FSC-klagomål mail.docx", "A 21978-2024")</f>
        <v/>
      </c>
      <c r="X23">
        <f>HYPERLINK("https://klasma.github.io/Logging_0136/tillsyn/A 21978-2024 tillsynsbegäran.docx", "A 21978-2024")</f>
        <v/>
      </c>
      <c r="Y23">
        <f>HYPERLINK("https://klasma.github.io/Logging_0136/tillsynsmail/A 21978-2024 tillsynsbegäran mail.docx", "A 21978-2024")</f>
        <v/>
      </c>
    </row>
    <row r="24" ht="15" customHeight="1">
      <c r="A24" t="inlineStr">
        <is>
          <t>A 21187-2020</t>
        </is>
      </c>
      <c r="B24" s="1" t="n">
        <v>43951</v>
      </c>
      <c r="C24" s="1" t="n">
        <v>45679</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45679</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45679</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45679</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45679</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12662-2024</t>
        </is>
      </c>
      <c r="B29" s="1" t="n">
        <v>45384</v>
      </c>
      <c r="C29" s="1" t="n">
        <v>45679</v>
      </c>
      <c r="D29" t="inlineStr">
        <is>
          <t>STOCKHOLMS LÄN</t>
        </is>
      </c>
      <c r="E29" t="inlineStr">
        <is>
          <t>HANINGE</t>
        </is>
      </c>
      <c r="G29" t="n">
        <v>1.8</v>
      </c>
      <c r="H29" t="n">
        <v>1</v>
      </c>
      <c r="I29" t="n">
        <v>1</v>
      </c>
      <c r="J29" t="n">
        <v>0</v>
      </c>
      <c r="K29" t="n">
        <v>0</v>
      </c>
      <c r="L29" t="n">
        <v>0</v>
      </c>
      <c r="M29" t="n">
        <v>0</v>
      </c>
      <c r="N29" t="n">
        <v>0</v>
      </c>
      <c r="O29" t="n">
        <v>0</v>
      </c>
      <c r="P29" t="n">
        <v>0</v>
      </c>
      <c r="Q29" t="n">
        <v>2</v>
      </c>
      <c r="R29" s="2" t="inlineStr">
        <is>
          <t>Skogshakmossa
Blåsippa</t>
        </is>
      </c>
      <c r="S29">
        <f>HYPERLINK("https://klasma.github.io/Logging_0136/artfynd/A 12662-2024 artfynd.xlsx", "A 12662-2024")</f>
        <v/>
      </c>
      <c r="T29">
        <f>HYPERLINK("https://klasma.github.io/Logging_0136/kartor/A 12662-2024 karta.png", "A 12662-2024")</f>
        <v/>
      </c>
      <c r="V29">
        <f>HYPERLINK("https://klasma.github.io/Logging_0136/klagomål/A 12662-2024 FSC-klagomål.docx", "A 12662-2024")</f>
        <v/>
      </c>
      <c r="W29">
        <f>HYPERLINK("https://klasma.github.io/Logging_0136/klagomålsmail/A 12662-2024 FSC-klagomål mail.docx", "A 12662-2024")</f>
        <v/>
      </c>
      <c r="X29">
        <f>HYPERLINK("https://klasma.github.io/Logging_0136/tillsyn/A 12662-2024 tillsynsbegäran.docx", "A 12662-2024")</f>
        <v/>
      </c>
      <c r="Y29">
        <f>HYPERLINK("https://klasma.github.io/Logging_0136/tillsynsmail/A 12662-2024 tillsynsbegäran mail.docx", "A 12662-2024")</f>
        <v/>
      </c>
    </row>
    <row r="30" ht="15" customHeight="1">
      <c r="A30" t="inlineStr">
        <is>
          <t>A 29513-2019</t>
        </is>
      </c>
      <c r="B30" s="1" t="n">
        <v>43627</v>
      </c>
      <c r="C30" s="1" t="n">
        <v>45679</v>
      </c>
      <c r="D30" t="inlineStr">
        <is>
          <t>STOCKHOLMS LÄN</t>
        </is>
      </c>
      <c r="E30" t="inlineStr">
        <is>
          <t>HANINGE</t>
        </is>
      </c>
      <c r="G30" t="n">
        <v>2.1</v>
      </c>
      <c r="H30" t="n">
        <v>1</v>
      </c>
      <c r="I30" t="n">
        <v>0</v>
      </c>
      <c r="J30" t="n">
        <v>1</v>
      </c>
      <c r="K30" t="n">
        <v>0</v>
      </c>
      <c r="L30" t="n">
        <v>0</v>
      </c>
      <c r="M30" t="n">
        <v>0</v>
      </c>
      <c r="N30" t="n">
        <v>0</v>
      </c>
      <c r="O30" t="n">
        <v>1</v>
      </c>
      <c r="P30" t="n">
        <v>0</v>
      </c>
      <c r="Q30" t="n">
        <v>1</v>
      </c>
      <c r="R30" s="2" t="inlineStr">
        <is>
          <t>Spillkråka</t>
        </is>
      </c>
      <c r="S30">
        <f>HYPERLINK("https://klasma.github.io/Logging_0136/artfynd/A 29513-2019 artfynd.xlsx", "A 29513-2019")</f>
        <v/>
      </c>
      <c r="T30">
        <f>HYPERLINK("https://klasma.github.io/Logging_0136/kartor/A 29513-2019 karta.png", "A 29513-2019")</f>
        <v/>
      </c>
      <c r="V30">
        <f>HYPERLINK("https://klasma.github.io/Logging_0136/klagomål/A 29513-2019 FSC-klagomål.docx", "A 29513-2019")</f>
        <v/>
      </c>
      <c r="W30">
        <f>HYPERLINK("https://klasma.github.io/Logging_0136/klagomålsmail/A 29513-2019 FSC-klagomål mail.docx", "A 29513-2019")</f>
        <v/>
      </c>
      <c r="X30">
        <f>HYPERLINK("https://klasma.github.io/Logging_0136/tillsyn/A 29513-2019 tillsynsbegäran.docx", "A 29513-2019")</f>
        <v/>
      </c>
      <c r="Y30">
        <f>HYPERLINK("https://klasma.github.io/Logging_0136/tillsynsmail/A 29513-2019 tillsynsbegäran mail.docx", "A 29513-2019")</f>
        <v/>
      </c>
      <c r="Z30">
        <f>HYPERLINK("https://klasma.github.io/Logging_0136/fåglar/A 29513-2019 prioriterade fågelarter.docx", "A 29513-2019")</f>
        <v/>
      </c>
    </row>
    <row r="31" ht="15" customHeight="1">
      <c r="A31" t="inlineStr">
        <is>
          <t>A 68231-2019</t>
        </is>
      </c>
      <c r="B31" s="1" t="n">
        <v>43817</v>
      </c>
      <c r="C31" s="1" t="n">
        <v>45679</v>
      </c>
      <c r="D31" t="inlineStr">
        <is>
          <t>STOCKHOLMS LÄN</t>
        </is>
      </c>
      <c r="E31" t="inlineStr">
        <is>
          <t>HANINGE</t>
        </is>
      </c>
      <c r="F31" t="inlineStr">
        <is>
          <t>Övriga statliga verk och myndigheter</t>
        </is>
      </c>
      <c r="G31" t="n">
        <v>80.5</v>
      </c>
      <c r="H31" t="n">
        <v>1</v>
      </c>
      <c r="I31" t="n">
        <v>0</v>
      </c>
      <c r="J31" t="n">
        <v>1</v>
      </c>
      <c r="K31" t="n">
        <v>0</v>
      </c>
      <c r="L31" t="n">
        <v>0</v>
      </c>
      <c r="M31" t="n">
        <v>0</v>
      </c>
      <c r="N31" t="n">
        <v>0</v>
      </c>
      <c r="O31" t="n">
        <v>1</v>
      </c>
      <c r="P31" t="n">
        <v>0</v>
      </c>
      <c r="Q31" t="n">
        <v>1</v>
      </c>
      <c r="R31" s="2" t="inlineStr">
        <is>
          <t>Havsörn</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15312-2020</t>
        </is>
      </c>
      <c r="B32" s="1" t="n">
        <v>43913</v>
      </c>
      <c r="C32" s="1" t="n">
        <v>45679</v>
      </c>
      <c r="D32" t="inlineStr">
        <is>
          <t>STOCKHOLMS LÄN</t>
        </is>
      </c>
      <c r="E32" t="inlineStr">
        <is>
          <t>HANINGE</t>
        </is>
      </c>
      <c r="F32" t="inlineStr">
        <is>
          <t>Övriga statliga verk och myndigheter</t>
        </is>
      </c>
      <c r="G32" t="n">
        <v>2.4</v>
      </c>
      <c r="H32" t="n">
        <v>0</v>
      </c>
      <c r="I32" t="n">
        <v>0</v>
      </c>
      <c r="J32" t="n">
        <v>1</v>
      </c>
      <c r="K32" t="n">
        <v>0</v>
      </c>
      <c r="L32" t="n">
        <v>0</v>
      </c>
      <c r="M32" t="n">
        <v>0</v>
      </c>
      <c r="N32" t="n">
        <v>0</v>
      </c>
      <c r="O32" t="n">
        <v>1</v>
      </c>
      <c r="P32" t="n">
        <v>0</v>
      </c>
      <c r="Q32" t="n">
        <v>1</v>
      </c>
      <c r="R32" s="2" t="inlineStr">
        <is>
          <t>Tallticka</t>
        </is>
      </c>
      <c r="S32">
        <f>HYPERLINK("https://klasma.github.io/Logging_0136/artfynd/A 15312-2020 artfynd.xlsx", "A 15312-2020")</f>
        <v/>
      </c>
      <c r="T32">
        <f>HYPERLINK("https://klasma.github.io/Logging_0136/kartor/A 15312-2020 karta.png", "A 15312-2020")</f>
        <v/>
      </c>
      <c r="V32">
        <f>HYPERLINK("https://klasma.github.io/Logging_0136/klagomål/A 15312-2020 FSC-klagomål.docx", "A 15312-2020")</f>
        <v/>
      </c>
      <c r="W32">
        <f>HYPERLINK("https://klasma.github.io/Logging_0136/klagomålsmail/A 15312-2020 FSC-klagomål mail.docx", "A 15312-2020")</f>
        <v/>
      </c>
      <c r="X32">
        <f>HYPERLINK("https://klasma.github.io/Logging_0136/tillsyn/A 15312-2020 tillsynsbegäran.docx", "A 15312-2020")</f>
        <v/>
      </c>
      <c r="Y32">
        <f>HYPERLINK("https://klasma.github.io/Logging_0136/tillsynsmail/A 15312-2020 tillsynsbegäran mail.docx", "A 15312-2020")</f>
        <v/>
      </c>
    </row>
    <row r="33" ht="15" customHeight="1">
      <c r="A33" t="inlineStr">
        <is>
          <t>A 32525-2020</t>
        </is>
      </c>
      <c r="B33" s="1" t="n">
        <v>44018</v>
      </c>
      <c r="C33" s="1" t="n">
        <v>45679</v>
      </c>
      <c r="D33" t="inlineStr">
        <is>
          <t>STOCKHOLMS LÄN</t>
        </is>
      </c>
      <c r="E33" t="inlineStr">
        <is>
          <t>HANINGE</t>
        </is>
      </c>
      <c r="F33" t="inlineStr">
        <is>
          <t>Kommuner</t>
        </is>
      </c>
      <c r="G33" t="n">
        <v>2.3</v>
      </c>
      <c r="H33" t="n">
        <v>0</v>
      </c>
      <c r="I33" t="n">
        <v>1</v>
      </c>
      <c r="J33" t="n">
        <v>0</v>
      </c>
      <c r="K33" t="n">
        <v>0</v>
      </c>
      <c r="L33" t="n">
        <v>0</v>
      </c>
      <c r="M33" t="n">
        <v>0</v>
      </c>
      <c r="N33" t="n">
        <v>0</v>
      </c>
      <c r="O33" t="n">
        <v>0</v>
      </c>
      <c r="P33" t="n">
        <v>0</v>
      </c>
      <c r="Q33" t="n">
        <v>1</v>
      </c>
      <c r="R33" s="2" t="inlineStr">
        <is>
          <t>Vedticka</t>
        </is>
      </c>
      <c r="S33">
        <f>HYPERLINK("https://klasma.github.io/Logging_0136/artfynd/A 32525-2020 artfynd.xlsx", "A 32525-2020")</f>
        <v/>
      </c>
      <c r="T33">
        <f>HYPERLINK("https://klasma.github.io/Logging_0136/kartor/A 32525-2020 karta.png", "A 32525-2020")</f>
        <v/>
      </c>
      <c r="V33">
        <f>HYPERLINK("https://klasma.github.io/Logging_0136/klagomål/A 32525-2020 FSC-klagomål.docx", "A 32525-2020")</f>
        <v/>
      </c>
      <c r="W33">
        <f>HYPERLINK("https://klasma.github.io/Logging_0136/klagomålsmail/A 32525-2020 FSC-klagomål mail.docx", "A 32525-2020")</f>
        <v/>
      </c>
      <c r="X33">
        <f>HYPERLINK("https://klasma.github.io/Logging_0136/tillsyn/A 32525-2020 tillsynsbegäran.docx", "A 32525-2020")</f>
        <v/>
      </c>
      <c r="Y33">
        <f>HYPERLINK("https://klasma.github.io/Logging_0136/tillsynsmail/A 32525-2020 tillsynsbegäran mail.docx", "A 32525-2020")</f>
        <v/>
      </c>
    </row>
    <row r="34" ht="15" customHeight="1">
      <c r="A34" t="inlineStr">
        <is>
          <t>A 1424-2021</t>
        </is>
      </c>
      <c r="B34" s="1" t="n">
        <v>44208</v>
      </c>
      <c r="C34" s="1" t="n">
        <v>45679</v>
      </c>
      <c r="D34" t="inlineStr">
        <is>
          <t>STOCKHOLMS LÄN</t>
        </is>
      </c>
      <c r="E34" t="inlineStr">
        <is>
          <t>HANINGE</t>
        </is>
      </c>
      <c r="G34" t="n">
        <v>1.7</v>
      </c>
      <c r="H34" t="n">
        <v>1</v>
      </c>
      <c r="I34" t="n">
        <v>1</v>
      </c>
      <c r="J34" t="n">
        <v>0</v>
      </c>
      <c r="K34" t="n">
        <v>0</v>
      </c>
      <c r="L34" t="n">
        <v>0</v>
      </c>
      <c r="M34" t="n">
        <v>0</v>
      </c>
      <c r="N34" t="n">
        <v>0</v>
      </c>
      <c r="O34" t="n">
        <v>0</v>
      </c>
      <c r="P34" t="n">
        <v>0</v>
      </c>
      <c r="Q34" t="n">
        <v>1</v>
      </c>
      <c r="R34" s="2" t="inlineStr">
        <is>
          <t>Tvåblad</t>
        </is>
      </c>
      <c r="S34">
        <f>HYPERLINK("https://klasma.github.io/Logging_0136/artfynd/A 1424-2021 artfynd.xlsx", "A 1424-2021")</f>
        <v/>
      </c>
      <c r="T34">
        <f>HYPERLINK("https://klasma.github.io/Logging_0136/kartor/A 1424-2021 karta.png", "A 1424-2021")</f>
        <v/>
      </c>
      <c r="U34">
        <f>HYPERLINK("https://klasma.github.io/Logging_0136/knärot/A 1424-2021 karta knärot.png", "A 1424-2021")</f>
        <v/>
      </c>
      <c r="V34">
        <f>HYPERLINK("https://klasma.github.io/Logging_0136/klagomål/A 1424-2021 FSC-klagomål.docx", "A 1424-2021")</f>
        <v/>
      </c>
      <c r="W34">
        <f>HYPERLINK("https://klasma.github.io/Logging_0136/klagomålsmail/A 1424-2021 FSC-klagomål mail.docx", "A 1424-2021")</f>
        <v/>
      </c>
      <c r="X34">
        <f>HYPERLINK("https://klasma.github.io/Logging_0136/tillsyn/A 1424-2021 tillsynsbegäran.docx", "A 1424-2021")</f>
        <v/>
      </c>
      <c r="Y34">
        <f>HYPERLINK("https://klasma.github.io/Logging_0136/tillsynsmail/A 1424-2021 tillsynsbegäran mail.docx", "A 1424-2021")</f>
        <v/>
      </c>
    </row>
    <row r="35" ht="15" customHeight="1">
      <c r="A35" t="inlineStr">
        <is>
          <t>A 68883-2021</t>
        </is>
      </c>
      <c r="B35" s="1" t="n">
        <v>44526</v>
      </c>
      <c r="C35" s="1" t="n">
        <v>45679</v>
      </c>
      <c r="D35" t="inlineStr">
        <is>
          <t>STOCKHOLMS LÄN</t>
        </is>
      </c>
      <c r="E35" t="inlineStr">
        <is>
          <t>HANINGE</t>
        </is>
      </c>
      <c r="G35" t="n">
        <v>2.5</v>
      </c>
      <c r="H35" t="n">
        <v>1</v>
      </c>
      <c r="I35" t="n">
        <v>0</v>
      </c>
      <c r="J35" t="n">
        <v>0</v>
      </c>
      <c r="K35" t="n">
        <v>0</v>
      </c>
      <c r="L35" t="n">
        <v>0</v>
      </c>
      <c r="M35" t="n">
        <v>0</v>
      </c>
      <c r="N35" t="n">
        <v>0</v>
      </c>
      <c r="O35" t="n">
        <v>0</v>
      </c>
      <c r="P35" t="n">
        <v>0</v>
      </c>
      <c r="Q35" t="n">
        <v>1</v>
      </c>
      <c r="R35" s="2" t="inlineStr">
        <is>
          <t>Nattviol</t>
        </is>
      </c>
      <c r="S35">
        <f>HYPERLINK("https://klasma.github.io/Logging_0136/artfynd/A 68883-2021 artfynd.xlsx", "A 68883-2021")</f>
        <v/>
      </c>
      <c r="T35">
        <f>HYPERLINK("https://klasma.github.io/Logging_0136/kartor/A 68883-2021 karta.png", "A 68883-2021")</f>
        <v/>
      </c>
      <c r="V35">
        <f>HYPERLINK("https://klasma.github.io/Logging_0136/klagomål/A 68883-2021 FSC-klagomål.docx", "A 68883-2021")</f>
        <v/>
      </c>
      <c r="W35">
        <f>HYPERLINK("https://klasma.github.io/Logging_0136/klagomålsmail/A 68883-2021 FSC-klagomål mail.docx", "A 68883-2021")</f>
        <v/>
      </c>
      <c r="X35">
        <f>HYPERLINK("https://klasma.github.io/Logging_0136/tillsyn/A 68883-2021 tillsynsbegäran.docx", "A 68883-2021")</f>
        <v/>
      </c>
      <c r="Y35">
        <f>HYPERLINK("https://klasma.github.io/Logging_0136/tillsynsmail/A 68883-2021 tillsynsbegäran mail.docx", "A 68883-2021")</f>
        <v/>
      </c>
    </row>
    <row r="36" ht="15" customHeight="1">
      <c r="A36" t="inlineStr">
        <is>
          <t>A 2722-2022</t>
        </is>
      </c>
      <c r="B36" s="1" t="n">
        <v>44580</v>
      </c>
      <c r="C36" s="1" t="n">
        <v>45679</v>
      </c>
      <c r="D36" t="inlineStr">
        <is>
          <t>STOCKHOLMS LÄN</t>
        </is>
      </c>
      <c r="E36" t="inlineStr">
        <is>
          <t>HANINGE</t>
        </is>
      </c>
      <c r="G36" t="n">
        <v>1.5</v>
      </c>
      <c r="H36" t="n">
        <v>1</v>
      </c>
      <c r="I36" t="n">
        <v>1</v>
      </c>
      <c r="J36" t="n">
        <v>0</v>
      </c>
      <c r="K36" t="n">
        <v>0</v>
      </c>
      <c r="L36" t="n">
        <v>0</v>
      </c>
      <c r="M36" t="n">
        <v>0</v>
      </c>
      <c r="N36" t="n">
        <v>0</v>
      </c>
      <c r="O36" t="n">
        <v>0</v>
      </c>
      <c r="P36" t="n">
        <v>0</v>
      </c>
      <c r="Q36" t="n">
        <v>1</v>
      </c>
      <c r="R36" s="2" t="inlineStr">
        <is>
          <t>Grön sköldmossa</t>
        </is>
      </c>
      <c r="S36">
        <f>HYPERLINK("https://klasma.github.io/Logging_0136/artfynd/A 2722-2022 artfynd.xlsx", "A 2722-2022")</f>
        <v/>
      </c>
      <c r="T36">
        <f>HYPERLINK("https://klasma.github.io/Logging_0136/kartor/A 2722-2022 karta.png", "A 2722-2022")</f>
        <v/>
      </c>
      <c r="V36">
        <f>HYPERLINK("https://klasma.github.io/Logging_0136/klagomål/A 2722-2022 FSC-klagomål.docx", "A 2722-2022")</f>
        <v/>
      </c>
      <c r="W36">
        <f>HYPERLINK("https://klasma.github.io/Logging_0136/klagomålsmail/A 2722-2022 FSC-klagomål mail.docx", "A 2722-2022")</f>
        <v/>
      </c>
      <c r="X36">
        <f>HYPERLINK("https://klasma.github.io/Logging_0136/tillsyn/A 2722-2022 tillsynsbegäran.docx", "A 2722-2022")</f>
        <v/>
      </c>
      <c r="Y36">
        <f>HYPERLINK("https://klasma.github.io/Logging_0136/tillsynsmail/A 2722-2022 tillsynsbegäran mail.docx", "A 2722-2022")</f>
        <v/>
      </c>
    </row>
    <row r="37" ht="15" customHeight="1">
      <c r="A37" t="inlineStr">
        <is>
          <t>A 34823-2022</t>
        </is>
      </c>
      <c r="B37" s="1" t="n">
        <v>44796</v>
      </c>
      <c r="C37" s="1" t="n">
        <v>45679</v>
      </c>
      <c r="D37" t="inlineStr">
        <is>
          <t>STOCKHOLMS LÄN</t>
        </is>
      </c>
      <c r="E37" t="inlineStr">
        <is>
          <t>HANINGE</t>
        </is>
      </c>
      <c r="G37" t="n">
        <v>12</v>
      </c>
      <c r="H37" t="n">
        <v>0</v>
      </c>
      <c r="I37" t="n">
        <v>0</v>
      </c>
      <c r="J37" t="n">
        <v>0</v>
      </c>
      <c r="K37" t="n">
        <v>1</v>
      </c>
      <c r="L37" t="n">
        <v>0</v>
      </c>
      <c r="M37" t="n">
        <v>0</v>
      </c>
      <c r="N37" t="n">
        <v>0</v>
      </c>
      <c r="O37" t="n">
        <v>1</v>
      </c>
      <c r="P37" t="n">
        <v>1</v>
      </c>
      <c r="Q37" t="n">
        <v>1</v>
      </c>
      <c r="R37" s="2" t="inlineStr">
        <is>
          <t>Mörk kraterlav</t>
        </is>
      </c>
      <c r="S37">
        <f>HYPERLINK("https://klasma.github.io/Logging_0136/artfynd/A 34823-2022 artfynd.xlsx", "A 34823-2022")</f>
        <v/>
      </c>
      <c r="T37">
        <f>HYPERLINK("https://klasma.github.io/Logging_0136/kartor/A 34823-2022 karta.png", "A 34823-2022")</f>
        <v/>
      </c>
      <c r="V37">
        <f>HYPERLINK("https://klasma.github.io/Logging_0136/klagomål/A 34823-2022 FSC-klagomål.docx", "A 34823-2022")</f>
        <v/>
      </c>
      <c r="W37">
        <f>HYPERLINK("https://klasma.github.io/Logging_0136/klagomålsmail/A 34823-2022 FSC-klagomål mail.docx", "A 34823-2022")</f>
        <v/>
      </c>
      <c r="X37">
        <f>HYPERLINK("https://klasma.github.io/Logging_0136/tillsyn/A 34823-2022 tillsynsbegäran.docx", "A 34823-2022")</f>
        <v/>
      </c>
      <c r="Y37">
        <f>HYPERLINK("https://klasma.github.io/Logging_0136/tillsynsmail/A 34823-2022 tillsynsbegäran mail.docx", "A 34823-2022")</f>
        <v/>
      </c>
    </row>
    <row r="38" ht="15" customHeight="1">
      <c r="A38" t="inlineStr">
        <is>
          <t>A 37004-2022</t>
        </is>
      </c>
      <c r="B38" s="1" t="n">
        <v>44806</v>
      </c>
      <c r="C38" s="1" t="n">
        <v>45679</v>
      </c>
      <c r="D38" t="inlineStr">
        <is>
          <t>STOCKHOLMS LÄN</t>
        </is>
      </c>
      <c r="E38" t="inlineStr">
        <is>
          <t>HANINGE</t>
        </is>
      </c>
      <c r="F38" t="inlineStr">
        <is>
          <t>Övriga statliga verk och myndigheter</t>
        </is>
      </c>
      <c r="G38" t="n">
        <v>4.4</v>
      </c>
      <c r="H38" t="n">
        <v>1</v>
      </c>
      <c r="I38" t="n">
        <v>1</v>
      </c>
      <c r="J38" t="n">
        <v>0</v>
      </c>
      <c r="K38" t="n">
        <v>0</v>
      </c>
      <c r="L38" t="n">
        <v>0</v>
      </c>
      <c r="M38" t="n">
        <v>0</v>
      </c>
      <c r="N38" t="n">
        <v>0</v>
      </c>
      <c r="O38" t="n">
        <v>0</v>
      </c>
      <c r="P38" t="n">
        <v>0</v>
      </c>
      <c r="Q38" t="n">
        <v>1</v>
      </c>
      <c r="R38" s="2" t="inlineStr">
        <is>
          <t>Skogsknipprot</t>
        </is>
      </c>
      <c r="S38">
        <f>HYPERLINK("https://klasma.github.io/Logging_0136/artfynd/A 37004-2022 artfynd.xlsx", "A 37004-2022")</f>
        <v/>
      </c>
      <c r="T38">
        <f>HYPERLINK("https://klasma.github.io/Logging_0136/kartor/A 37004-2022 karta.png", "A 37004-2022")</f>
        <v/>
      </c>
      <c r="V38">
        <f>HYPERLINK("https://klasma.github.io/Logging_0136/klagomål/A 37004-2022 FSC-klagomål.docx", "A 37004-2022")</f>
        <v/>
      </c>
      <c r="W38">
        <f>HYPERLINK("https://klasma.github.io/Logging_0136/klagomålsmail/A 37004-2022 FSC-klagomål mail.docx", "A 37004-2022")</f>
        <v/>
      </c>
      <c r="X38">
        <f>HYPERLINK("https://klasma.github.io/Logging_0136/tillsyn/A 37004-2022 tillsynsbegäran.docx", "A 37004-2022")</f>
        <v/>
      </c>
      <c r="Y38">
        <f>HYPERLINK("https://klasma.github.io/Logging_0136/tillsynsmail/A 37004-2022 tillsynsbegäran mail.docx", "A 37004-2022")</f>
        <v/>
      </c>
    </row>
    <row r="39" ht="15" customHeight="1">
      <c r="A39" t="inlineStr">
        <is>
          <t>A 39636-2022</t>
        </is>
      </c>
      <c r="B39" s="1" t="n">
        <v>44818</v>
      </c>
      <c r="C39" s="1" t="n">
        <v>45679</v>
      </c>
      <c r="D39" t="inlineStr">
        <is>
          <t>STOCKHOLMS LÄN</t>
        </is>
      </c>
      <c r="E39" t="inlineStr">
        <is>
          <t>HANINGE</t>
        </is>
      </c>
      <c r="G39" t="n">
        <v>2</v>
      </c>
      <c r="H39" t="n">
        <v>0</v>
      </c>
      <c r="I39" t="n">
        <v>0</v>
      </c>
      <c r="J39" t="n">
        <v>0</v>
      </c>
      <c r="K39" t="n">
        <v>1</v>
      </c>
      <c r="L39" t="n">
        <v>0</v>
      </c>
      <c r="M39" t="n">
        <v>0</v>
      </c>
      <c r="N39" t="n">
        <v>0</v>
      </c>
      <c r="O39" t="n">
        <v>1</v>
      </c>
      <c r="P39" t="n">
        <v>1</v>
      </c>
      <c r="Q39" t="n">
        <v>1</v>
      </c>
      <c r="R39" s="2" t="inlineStr">
        <is>
          <t>Koppartaggsvamp</t>
        </is>
      </c>
      <c r="S39">
        <f>HYPERLINK("https://klasma.github.io/Logging_0136/artfynd/A 39636-2022 artfynd.xlsx", "A 39636-2022")</f>
        <v/>
      </c>
      <c r="T39">
        <f>HYPERLINK("https://klasma.github.io/Logging_0136/kartor/A 39636-2022 karta.png", "A 39636-2022")</f>
        <v/>
      </c>
      <c r="V39">
        <f>HYPERLINK("https://klasma.github.io/Logging_0136/klagomål/A 39636-2022 FSC-klagomål.docx", "A 39636-2022")</f>
        <v/>
      </c>
      <c r="W39">
        <f>HYPERLINK("https://klasma.github.io/Logging_0136/klagomålsmail/A 39636-2022 FSC-klagomål mail.docx", "A 39636-2022")</f>
        <v/>
      </c>
      <c r="X39">
        <f>HYPERLINK("https://klasma.github.io/Logging_0136/tillsyn/A 39636-2022 tillsynsbegäran.docx", "A 39636-2022")</f>
        <v/>
      </c>
      <c r="Y39">
        <f>HYPERLINK("https://klasma.github.io/Logging_0136/tillsynsmail/A 39636-2022 tillsynsbegäran mail.docx", "A 39636-2022")</f>
        <v/>
      </c>
    </row>
    <row r="40" ht="15" customHeight="1">
      <c r="A40" t="inlineStr">
        <is>
          <t>A 60299-2023</t>
        </is>
      </c>
      <c r="B40" s="1" t="n">
        <v>45258</v>
      </c>
      <c r="C40" s="1" t="n">
        <v>45679</v>
      </c>
      <c r="D40" t="inlineStr">
        <is>
          <t>STOCKHOLMS LÄN</t>
        </is>
      </c>
      <c r="E40" t="inlineStr">
        <is>
          <t>HANINGE</t>
        </is>
      </c>
      <c r="G40" t="n">
        <v>1.3</v>
      </c>
      <c r="H40" t="n">
        <v>0</v>
      </c>
      <c r="I40" t="n">
        <v>1</v>
      </c>
      <c r="J40" t="n">
        <v>0</v>
      </c>
      <c r="K40" t="n">
        <v>0</v>
      </c>
      <c r="L40" t="n">
        <v>0</v>
      </c>
      <c r="M40" t="n">
        <v>0</v>
      </c>
      <c r="N40" t="n">
        <v>0</v>
      </c>
      <c r="O40" t="n">
        <v>0</v>
      </c>
      <c r="P40" t="n">
        <v>0</v>
      </c>
      <c r="Q40" t="n">
        <v>1</v>
      </c>
      <c r="R40" s="2" t="inlineStr">
        <is>
          <t>Mörk husmossa</t>
        </is>
      </c>
      <c r="S40">
        <f>HYPERLINK("https://klasma.github.io/Logging_0136/artfynd/A 60299-2023 artfynd.xlsx", "A 60299-2023")</f>
        <v/>
      </c>
      <c r="T40">
        <f>HYPERLINK("https://klasma.github.io/Logging_0136/kartor/A 60299-2023 karta.png", "A 60299-2023")</f>
        <v/>
      </c>
      <c r="V40">
        <f>HYPERLINK("https://klasma.github.io/Logging_0136/klagomål/A 60299-2023 FSC-klagomål.docx", "A 60299-2023")</f>
        <v/>
      </c>
      <c r="W40">
        <f>HYPERLINK("https://klasma.github.io/Logging_0136/klagomålsmail/A 60299-2023 FSC-klagomål mail.docx", "A 60299-2023")</f>
        <v/>
      </c>
      <c r="X40">
        <f>HYPERLINK("https://klasma.github.io/Logging_0136/tillsyn/A 60299-2023 tillsynsbegäran.docx", "A 60299-2023")</f>
        <v/>
      </c>
      <c r="Y40">
        <f>HYPERLINK("https://klasma.github.io/Logging_0136/tillsynsmail/A 60299-2023 tillsynsbegäran mail.docx", "A 60299-2023")</f>
        <v/>
      </c>
    </row>
    <row r="41" ht="15" customHeight="1">
      <c r="A41" t="inlineStr">
        <is>
          <t>A 60369-2023</t>
        </is>
      </c>
      <c r="B41" s="1" t="n">
        <v>45259</v>
      </c>
      <c r="C41" s="1" t="n">
        <v>45679</v>
      </c>
      <c r="D41" t="inlineStr">
        <is>
          <t>STOCKHOLMS LÄN</t>
        </is>
      </c>
      <c r="E41" t="inlineStr">
        <is>
          <t>HANINGE</t>
        </is>
      </c>
      <c r="G41" t="n">
        <v>2.9</v>
      </c>
      <c r="H41" t="n">
        <v>1</v>
      </c>
      <c r="I41" t="n">
        <v>0</v>
      </c>
      <c r="J41" t="n">
        <v>0</v>
      </c>
      <c r="K41" t="n">
        <v>0</v>
      </c>
      <c r="L41" t="n">
        <v>0</v>
      </c>
      <c r="M41" t="n">
        <v>0</v>
      </c>
      <c r="N41" t="n">
        <v>0</v>
      </c>
      <c r="O41" t="n">
        <v>0</v>
      </c>
      <c r="P41" t="n">
        <v>0</v>
      </c>
      <c r="Q41" t="n">
        <v>1</v>
      </c>
      <c r="R41" s="2" t="inlineStr">
        <is>
          <t>Mattlummer</t>
        </is>
      </c>
      <c r="S41">
        <f>HYPERLINK("https://klasma.github.io/Logging_0136/artfynd/A 60369-2023 artfynd.xlsx", "A 60369-2023")</f>
        <v/>
      </c>
      <c r="T41">
        <f>HYPERLINK("https://klasma.github.io/Logging_0136/kartor/A 60369-2023 karta.png", "A 60369-2023")</f>
        <v/>
      </c>
      <c r="V41">
        <f>HYPERLINK("https://klasma.github.io/Logging_0136/klagomål/A 60369-2023 FSC-klagomål.docx", "A 60369-2023")</f>
        <v/>
      </c>
      <c r="W41">
        <f>HYPERLINK("https://klasma.github.io/Logging_0136/klagomålsmail/A 60369-2023 FSC-klagomål mail.docx", "A 60369-2023")</f>
        <v/>
      </c>
      <c r="X41">
        <f>HYPERLINK("https://klasma.github.io/Logging_0136/tillsyn/A 60369-2023 tillsynsbegäran.docx", "A 60369-2023")</f>
        <v/>
      </c>
      <c r="Y41">
        <f>HYPERLINK("https://klasma.github.io/Logging_0136/tillsynsmail/A 60369-2023 tillsynsbegäran mail.docx", "A 60369-2023")</f>
        <v/>
      </c>
    </row>
    <row r="42" ht="15" customHeight="1">
      <c r="A42" t="inlineStr">
        <is>
          <t>A 3952-2024</t>
        </is>
      </c>
      <c r="B42" s="1" t="n">
        <v>45322</v>
      </c>
      <c r="C42" s="1" t="n">
        <v>45679</v>
      </c>
      <c r="D42" t="inlineStr">
        <is>
          <t>STOCKHOLMS LÄN</t>
        </is>
      </c>
      <c r="E42" t="inlineStr">
        <is>
          <t>HANINGE</t>
        </is>
      </c>
      <c r="G42" t="n">
        <v>1.7</v>
      </c>
      <c r="H42" t="n">
        <v>1</v>
      </c>
      <c r="I42" t="n">
        <v>0</v>
      </c>
      <c r="J42" t="n">
        <v>0</v>
      </c>
      <c r="K42" t="n">
        <v>0</v>
      </c>
      <c r="L42" t="n">
        <v>0</v>
      </c>
      <c r="M42" t="n">
        <v>0</v>
      </c>
      <c r="N42" t="n">
        <v>0</v>
      </c>
      <c r="O42" t="n">
        <v>0</v>
      </c>
      <c r="P42" t="n">
        <v>0</v>
      </c>
      <c r="Q42" t="n">
        <v>1</v>
      </c>
      <c r="R42" s="2" t="inlineStr">
        <is>
          <t>Sångsvan</t>
        </is>
      </c>
      <c r="S42">
        <f>HYPERLINK("https://klasma.github.io/Logging_0136/artfynd/A 3952-2024 artfynd.xlsx", "A 3952-2024")</f>
        <v/>
      </c>
      <c r="T42">
        <f>HYPERLINK("https://klasma.github.io/Logging_0136/kartor/A 3952-2024 karta.png", "A 3952-2024")</f>
        <v/>
      </c>
      <c r="V42">
        <f>HYPERLINK("https://klasma.github.io/Logging_0136/klagomål/A 3952-2024 FSC-klagomål.docx", "A 3952-2024")</f>
        <v/>
      </c>
      <c r="W42">
        <f>HYPERLINK("https://klasma.github.io/Logging_0136/klagomålsmail/A 3952-2024 FSC-klagomål mail.docx", "A 3952-2024")</f>
        <v/>
      </c>
      <c r="X42">
        <f>HYPERLINK("https://klasma.github.io/Logging_0136/tillsyn/A 3952-2024 tillsynsbegäran.docx", "A 3952-2024")</f>
        <v/>
      </c>
      <c r="Y42">
        <f>HYPERLINK("https://klasma.github.io/Logging_0136/tillsynsmail/A 3952-2024 tillsynsbegäran mail.docx", "A 3952-2024")</f>
        <v/>
      </c>
      <c r="Z42">
        <f>HYPERLINK("https://klasma.github.io/Logging_0136/fåglar/A 3952-2024 prioriterade fågelarter.docx", "A 3952-2024")</f>
        <v/>
      </c>
    </row>
    <row r="43" ht="15" customHeight="1">
      <c r="A43" t="inlineStr">
        <is>
          <t>A 34656-2019</t>
        </is>
      </c>
      <c r="B43" s="1" t="n">
        <v>43657</v>
      </c>
      <c r="C43" s="1" t="n">
        <v>45679</v>
      </c>
      <c r="D43" t="inlineStr">
        <is>
          <t>STOCKHOLMS LÄN</t>
        </is>
      </c>
      <c r="E43" t="inlineStr">
        <is>
          <t>HANINGE</t>
        </is>
      </c>
      <c r="F43" t="inlineStr">
        <is>
          <t>Kommuner</t>
        </is>
      </c>
      <c r="G43" t="n">
        <v>5</v>
      </c>
      <c r="H43" t="n">
        <v>0</v>
      </c>
      <c r="I43" t="n">
        <v>0</v>
      </c>
      <c r="J43" t="n">
        <v>0</v>
      </c>
      <c r="K43" t="n">
        <v>0</v>
      </c>
      <c r="L43" t="n">
        <v>0</v>
      </c>
      <c r="M43" t="n">
        <v>0</v>
      </c>
      <c r="N43" t="n">
        <v>0</v>
      </c>
      <c r="O43" t="n">
        <v>0</v>
      </c>
      <c r="P43" t="n">
        <v>0</v>
      </c>
      <c r="Q43" t="n">
        <v>0</v>
      </c>
      <c r="R43" s="2" t="inlineStr"/>
    </row>
    <row r="44" ht="15" customHeight="1">
      <c r="A44" t="inlineStr">
        <is>
          <t>A 43930-2019</t>
        </is>
      </c>
      <c r="B44" s="1" t="n">
        <v>43707</v>
      </c>
      <c r="C44" s="1" t="n">
        <v>45679</v>
      </c>
      <c r="D44" t="inlineStr">
        <is>
          <t>STOCKHOLMS LÄN</t>
        </is>
      </c>
      <c r="E44" t="inlineStr">
        <is>
          <t>HANINGE</t>
        </is>
      </c>
      <c r="G44" t="n">
        <v>1</v>
      </c>
      <c r="H44" t="n">
        <v>0</v>
      </c>
      <c r="I44" t="n">
        <v>0</v>
      </c>
      <c r="J44" t="n">
        <v>0</v>
      </c>
      <c r="K44" t="n">
        <v>0</v>
      </c>
      <c r="L44" t="n">
        <v>0</v>
      </c>
      <c r="M44" t="n">
        <v>0</v>
      </c>
      <c r="N44" t="n">
        <v>0</v>
      </c>
      <c r="O44" t="n">
        <v>0</v>
      </c>
      <c r="P44" t="n">
        <v>0</v>
      </c>
      <c r="Q44" t="n">
        <v>0</v>
      </c>
      <c r="R44" s="2" t="inlineStr"/>
    </row>
    <row r="45" ht="15" customHeight="1">
      <c r="A45" t="inlineStr">
        <is>
          <t>A 48609-2019</t>
        </is>
      </c>
      <c r="B45" s="1" t="n">
        <v>43727</v>
      </c>
      <c r="C45" s="1" t="n">
        <v>45679</v>
      </c>
      <c r="D45" t="inlineStr">
        <is>
          <t>STOCKHOLMS LÄN</t>
        </is>
      </c>
      <c r="E45" t="inlineStr">
        <is>
          <t>HANINGE</t>
        </is>
      </c>
      <c r="G45" t="n">
        <v>2.5</v>
      </c>
      <c r="H45" t="n">
        <v>0</v>
      </c>
      <c r="I45" t="n">
        <v>0</v>
      </c>
      <c r="J45" t="n">
        <v>0</v>
      </c>
      <c r="K45" t="n">
        <v>0</v>
      </c>
      <c r="L45" t="n">
        <v>0</v>
      </c>
      <c r="M45" t="n">
        <v>0</v>
      </c>
      <c r="N45" t="n">
        <v>0</v>
      </c>
      <c r="O45" t="n">
        <v>0</v>
      </c>
      <c r="P45" t="n">
        <v>0</v>
      </c>
      <c r="Q45" t="n">
        <v>0</v>
      </c>
      <c r="R45" s="2" t="inlineStr"/>
    </row>
    <row r="46" ht="15" customHeight="1">
      <c r="A46" t="inlineStr">
        <is>
          <t>A 49349-2019</t>
        </is>
      </c>
      <c r="B46" s="1" t="n">
        <v>43731</v>
      </c>
      <c r="C46" s="1" t="n">
        <v>45679</v>
      </c>
      <c r="D46" t="inlineStr">
        <is>
          <t>STOCKHOLMS LÄN</t>
        </is>
      </c>
      <c r="E46" t="inlineStr">
        <is>
          <t>HANINGE</t>
        </is>
      </c>
      <c r="G46" t="n">
        <v>2.1</v>
      </c>
      <c r="H46" t="n">
        <v>0</v>
      </c>
      <c r="I46" t="n">
        <v>0</v>
      </c>
      <c r="J46" t="n">
        <v>0</v>
      </c>
      <c r="K46" t="n">
        <v>0</v>
      </c>
      <c r="L46" t="n">
        <v>0</v>
      </c>
      <c r="M46" t="n">
        <v>0</v>
      </c>
      <c r="N46" t="n">
        <v>0</v>
      </c>
      <c r="O46" t="n">
        <v>0</v>
      </c>
      <c r="P46" t="n">
        <v>0</v>
      </c>
      <c r="Q46" t="n">
        <v>0</v>
      </c>
      <c r="R46" s="2" t="inlineStr"/>
    </row>
    <row r="47" ht="15" customHeight="1">
      <c r="A47" t="inlineStr">
        <is>
          <t>A 53815-2019</t>
        </is>
      </c>
      <c r="B47" s="1" t="n">
        <v>43752</v>
      </c>
      <c r="C47" s="1" t="n">
        <v>45679</v>
      </c>
      <c r="D47" t="inlineStr">
        <is>
          <t>STOCKHOLMS LÄN</t>
        </is>
      </c>
      <c r="E47" t="inlineStr">
        <is>
          <t>HANINGE</t>
        </is>
      </c>
      <c r="G47" t="n">
        <v>1.3</v>
      </c>
      <c r="H47" t="n">
        <v>0</v>
      </c>
      <c r="I47" t="n">
        <v>0</v>
      </c>
      <c r="J47" t="n">
        <v>0</v>
      </c>
      <c r="K47" t="n">
        <v>0</v>
      </c>
      <c r="L47" t="n">
        <v>0</v>
      </c>
      <c r="M47" t="n">
        <v>0</v>
      </c>
      <c r="N47" t="n">
        <v>0</v>
      </c>
      <c r="O47" t="n">
        <v>0</v>
      </c>
      <c r="P47" t="n">
        <v>0</v>
      </c>
      <c r="Q47" t="n">
        <v>0</v>
      </c>
      <c r="R47" s="2" t="inlineStr"/>
    </row>
    <row r="48" ht="15" customHeight="1">
      <c r="A48" t="inlineStr">
        <is>
          <t>A 67111-2019</t>
        </is>
      </c>
      <c r="B48" s="1" t="n">
        <v>43807</v>
      </c>
      <c r="C48" s="1" t="n">
        <v>45679</v>
      </c>
      <c r="D48" t="inlineStr">
        <is>
          <t>STOCKHOLMS LÄN</t>
        </is>
      </c>
      <c r="E48" t="inlineStr">
        <is>
          <t>HANINGE</t>
        </is>
      </c>
      <c r="G48" t="n">
        <v>0.6</v>
      </c>
      <c r="H48" t="n">
        <v>0</v>
      </c>
      <c r="I48" t="n">
        <v>0</v>
      </c>
      <c r="J48" t="n">
        <v>0</v>
      </c>
      <c r="K48" t="n">
        <v>0</v>
      </c>
      <c r="L48" t="n">
        <v>0</v>
      </c>
      <c r="M48" t="n">
        <v>0</v>
      </c>
      <c r="N48" t="n">
        <v>0</v>
      </c>
      <c r="O48" t="n">
        <v>0</v>
      </c>
      <c r="P48" t="n">
        <v>0</v>
      </c>
      <c r="Q48" t="n">
        <v>0</v>
      </c>
      <c r="R48" s="2" t="inlineStr"/>
    </row>
    <row r="49" ht="15" customHeight="1">
      <c r="A49" t="inlineStr">
        <is>
          <t>A 68011-2019</t>
        </is>
      </c>
      <c r="B49" s="1" t="n">
        <v>43816</v>
      </c>
      <c r="C49" s="1" t="n">
        <v>45679</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4300-2020</t>
        </is>
      </c>
      <c r="B50" s="1" t="n">
        <v>43857</v>
      </c>
      <c r="C50" s="1" t="n">
        <v>45679</v>
      </c>
      <c r="D50" t="inlineStr">
        <is>
          <t>STOCKHOLMS LÄN</t>
        </is>
      </c>
      <c r="E50" t="inlineStr">
        <is>
          <t>HANINGE</t>
        </is>
      </c>
      <c r="G50" t="n">
        <v>3</v>
      </c>
      <c r="H50" t="n">
        <v>0</v>
      </c>
      <c r="I50" t="n">
        <v>0</v>
      </c>
      <c r="J50" t="n">
        <v>0</v>
      </c>
      <c r="K50" t="n">
        <v>0</v>
      </c>
      <c r="L50" t="n">
        <v>0</v>
      </c>
      <c r="M50" t="n">
        <v>0</v>
      </c>
      <c r="N50" t="n">
        <v>0</v>
      </c>
      <c r="O50" t="n">
        <v>0</v>
      </c>
      <c r="P50" t="n">
        <v>0</v>
      </c>
      <c r="Q50" t="n">
        <v>0</v>
      </c>
      <c r="R50" s="2" t="inlineStr"/>
    </row>
    <row r="51" ht="15" customHeight="1">
      <c r="A51" t="inlineStr">
        <is>
          <t>A 4431-2020</t>
        </is>
      </c>
      <c r="B51" s="1" t="n">
        <v>43858</v>
      </c>
      <c r="C51" s="1" t="n">
        <v>45679</v>
      </c>
      <c r="D51" t="inlineStr">
        <is>
          <t>STOCKHOLMS LÄN</t>
        </is>
      </c>
      <c r="E51" t="inlineStr">
        <is>
          <t>HANINGE</t>
        </is>
      </c>
      <c r="G51" t="n">
        <v>2.2</v>
      </c>
      <c r="H51" t="n">
        <v>0</v>
      </c>
      <c r="I51" t="n">
        <v>0</v>
      </c>
      <c r="J51" t="n">
        <v>0</v>
      </c>
      <c r="K51" t="n">
        <v>0</v>
      </c>
      <c r="L51" t="n">
        <v>0</v>
      </c>
      <c r="M51" t="n">
        <v>0</v>
      </c>
      <c r="N51" t="n">
        <v>0</v>
      </c>
      <c r="O51" t="n">
        <v>0</v>
      </c>
      <c r="P51" t="n">
        <v>0</v>
      </c>
      <c r="Q51" t="n">
        <v>0</v>
      </c>
      <c r="R51" s="2" t="inlineStr"/>
    </row>
    <row r="52" ht="15" customHeight="1">
      <c r="A52" t="inlineStr">
        <is>
          <t>A 4444-2020</t>
        </is>
      </c>
      <c r="B52" s="1" t="n">
        <v>43858</v>
      </c>
      <c r="C52" s="1" t="n">
        <v>45679</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12355-2020</t>
        </is>
      </c>
      <c r="B53" s="1" t="n">
        <v>43896</v>
      </c>
      <c r="C53" s="1" t="n">
        <v>45679</v>
      </c>
      <c r="D53" t="inlineStr">
        <is>
          <t>STOCKHOLMS LÄN</t>
        </is>
      </c>
      <c r="E53" t="inlineStr">
        <is>
          <t>HANINGE</t>
        </is>
      </c>
      <c r="G53" t="n">
        <v>4.4</v>
      </c>
      <c r="H53" t="n">
        <v>0</v>
      </c>
      <c r="I53" t="n">
        <v>0</v>
      </c>
      <c r="J53" t="n">
        <v>0</v>
      </c>
      <c r="K53" t="n">
        <v>0</v>
      </c>
      <c r="L53" t="n">
        <v>0</v>
      </c>
      <c r="M53" t="n">
        <v>0</v>
      </c>
      <c r="N53" t="n">
        <v>0</v>
      </c>
      <c r="O53" t="n">
        <v>0</v>
      </c>
      <c r="P53" t="n">
        <v>0</v>
      </c>
      <c r="Q53" t="n">
        <v>0</v>
      </c>
      <c r="R53" s="2" t="inlineStr"/>
    </row>
    <row r="54" ht="15" customHeight="1">
      <c r="A54" t="inlineStr">
        <is>
          <t>A 12620-2020</t>
        </is>
      </c>
      <c r="B54" s="1" t="n">
        <v>43899</v>
      </c>
      <c r="C54" s="1" t="n">
        <v>45679</v>
      </c>
      <c r="D54" t="inlineStr">
        <is>
          <t>STOCKHOLMS LÄN</t>
        </is>
      </c>
      <c r="E54" t="inlineStr">
        <is>
          <t>HANINGE</t>
        </is>
      </c>
      <c r="G54" t="n">
        <v>6</v>
      </c>
      <c r="H54" t="n">
        <v>0</v>
      </c>
      <c r="I54" t="n">
        <v>0</v>
      </c>
      <c r="J54" t="n">
        <v>0</v>
      </c>
      <c r="K54" t="n">
        <v>0</v>
      </c>
      <c r="L54" t="n">
        <v>0</v>
      </c>
      <c r="M54" t="n">
        <v>0</v>
      </c>
      <c r="N54" t="n">
        <v>0</v>
      </c>
      <c r="O54" t="n">
        <v>0</v>
      </c>
      <c r="P54" t="n">
        <v>0</v>
      </c>
      <c r="Q54" t="n">
        <v>0</v>
      </c>
      <c r="R54" s="2" t="inlineStr"/>
    </row>
    <row r="55" ht="15" customHeight="1">
      <c r="A55" t="inlineStr">
        <is>
          <t>A 14037-2020</t>
        </is>
      </c>
      <c r="B55" s="1" t="n">
        <v>43906</v>
      </c>
      <c r="C55" s="1" t="n">
        <v>45679</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15318-2020</t>
        </is>
      </c>
      <c r="B56" s="1" t="n">
        <v>43913</v>
      </c>
      <c r="C56" s="1" t="n">
        <v>45679</v>
      </c>
      <c r="D56" t="inlineStr">
        <is>
          <t>STOCKHOLMS LÄN</t>
        </is>
      </c>
      <c r="E56" t="inlineStr">
        <is>
          <t>HANINGE</t>
        </is>
      </c>
      <c r="G56" t="n">
        <v>3.8</v>
      </c>
      <c r="H56" t="n">
        <v>0</v>
      </c>
      <c r="I56" t="n">
        <v>0</v>
      </c>
      <c r="J56" t="n">
        <v>0</v>
      </c>
      <c r="K56" t="n">
        <v>0</v>
      </c>
      <c r="L56" t="n">
        <v>0</v>
      </c>
      <c r="M56" t="n">
        <v>0</v>
      </c>
      <c r="N56" t="n">
        <v>0</v>
      </c>
      <c r="O56" t="n">
        <v>0</v>
      </c>
      <c r="P56" t="n">
        <v>0</v>
      </c>
      <c r="Q56" t="n">
        <v>0</v>
      </c>
      <c r="R56" s="2" t="inlineStr"/>
    </row>
    <row r="57" ht="15" customHeight="1">
      <c r="A57" t="inlineStr">
        <is>
          <t>A 40037-2020</t>
        </is>
      </c>
      <c r="B57" s="1" t="n">
        <v>44067</v>
      </c>
      <c r="C57" s="1" t="n">
        <v>45679</v>
      </c>
      <c r="D57" t="inlineStr">
        <is>
          <t>STOCKHOLMS LÄN</t>
        </is>
      </c>
      <c r="E57" t="inlineStr">
        <is>
          <t>HANINGE</t>
        </is>
      </c>
      <c r="G57" t="n">
        <v>0.8</v>
      </c>
      <c r="H57" t="n">
        <v>0</v>
      </c>
      <c r="I57" t="n">
        <v>0</v>
      </c>
      <c r="J57" t="n">
        <v>0</v>
      </c>
      <c r="K57" t="n">
        <v>0</v>
      </c>
      <c r="L57" t="n">
        <v>0</v>
      </c>
      <c r="M57" t="n">
        <v>0</v>
      </c>
      <c r="N57" t="n">
        <v>0</v>
      </c>
      <c r="O57" t="n">
        <v>0</v>
      </c>
      <c r="P57" t="n">
        <v>0</v>
      </c>
      <c r="Q57" t="n">
        <v>0</v>
      </c>
      <c r="R57" s="2" t="inlineStr"/>
    </row>
    <row r="58" ht="15" customHeight="1">
      <c r="A58" t="inlineStr">
        <is>
          <t>A 64548-2020</t>
        </is>
      </c>
      <c r="B58" s="1" t="n">
        <v>44166</v>
      </c>
      <c r="C58" s="1" t="n">
        <v>45679</v>
      </c>
      <c r="D58" t="inlineStr">
        <is>
          <t>STOCKHOLMS LÄN</t>
        </is>
      </c>
      <c r="E58" t="inlineStr">
        <is>
          <t>HANINGE</t>
        </is>
      </c>
      <c r="G58" t="n">
        <v>7.2</v>
      </c>
      <c r="H58" t="n">
        <v>0</v>
      </c>
      <c r="I58" t="n">
        <v>0</v>
      </c>
      <c r="J58" t="n">
        <v>0</v>
      </c>
      <c r="K58" t="n">
        <v>0</v>
      </c>
      <c r="L58" t="n">
        <v>0</v>
      </c>
      <c r="M58" t="n">
        <v>0</v>
      </c>
      <c r="N58" t="n">
        <v>0</v>
      </c>
      <c r="O58" t="n">
        <v>0</v>
      </c>
      <c r="P58" t="n">
        <v>0</v>
      </c>
      <c r="Q58" t="n">
        <v>0</v>
      </c>
      <c r="R58" s="2" t="inlineStr"/>
    </row>
    <row r="59" ht="15" customHeight="1">
      <c r="A59" t="inlineStr">
        <is>
          <t>A 64395-2020</t>
        </is>
      </c>
      <c r="B59" s="1" t="n">
        <v>44168</v>
      </c>
      <c r="C59" s="1" t="n">
        <v>45679</v>
      </c>
      <c r="D59" t="inlineStr">
        <is>
          <t>STOCKHOLMS LÄN</t>
        </is>
      </c>
      <c r="E59" t="inlineStr">
        <is>
          <t>HANINGE</t>
        </is>
      </c>
      <c r="G59" t="n">
        <v>3.9</v>
      </c>
      <c r="H59" t="n">
        <v>0</v>
      </c>
      <c r="I59" t="n">
        <v>0</v>
      </c>
      <c r="J59" t="n">
        <v>0</v>
      </c>
      <c r="K59" t="n">
        <v>0</v>
      </c>
      <c r="L59" t="n">
        <v>0</v>
      </c>
      <c r="M59" t="n">
        <v>0</v>
      </c>
      <c r="N59" t="n">
        <v>0</v>
      </c>
      <c r="O59" t="n">
        <v>0</v>
      </c>
      <c r="P59" t="n">
        <v>0</v>
      </c>
      <c r="Q59" t="n">
        <v>0</v>
      </c>
      <c r="R59" s="2" t="inlineStr"/>
    </row>
    <row r="60" ht="15" customHeight="1">
      <c r="A60" t="inlineStr">
        <is>
          <t>A 66726-2020</t>
        </is>
      </c>
      <c r="B60" s="1" t="n">
        <v>44179</v>
      </c>
      <c r="C60" s="1" t="n">
        <v>45679</v>
      </c>
      <c r="D60" t="inlineStr">
        <is>
          <t>STOCKHOLMS LÄN</t>
        </is>
      </c>
      <c r="E60" t="inlineStr">
        <is>
          <t>HANINGE</t>
        </is>
      </c>
      <c r="F60" t="inlineStr">
        <is>
          <t>Övriga statliga verk och myndigheter</t>
        </is>
      </c>
      <c r="G60" t="n">
        <v>10.5</v>
      </c>
      <c r="H60" t="n">
        <v>0</v>
      </c>
      <c r="I60" t="n">
        <v>0</v>
      </c>
      <c r="J60" t="n">
        <v>0</v>
      </c>
      <c r="K60" t="n">
        <v>0</v>
      </c>
      <c r="L60" t="n">
        <v>0</v>
      </c>
      <c r="M60" t="n">
        <v>0</v>
      </c>
      <c r="N60" t="n">
        <v>0</v>
      </c>
      <c r="O60" t="n">
        <v>0</v>
      </c>
      <c r="P60" t="n">
        <v>0</v>
      </c>
      <c r="Q60" t="n">
        <v>0</v>
      </c>
      <c r="R60" s="2" t="inlineStr"/>
    </row>
    <row r="61" ht="15" customHeight="1">
      <c r="A61" t="inlineStr">
        <is>
          <t>A 1418-2021</t>
        </is>
      </c>
      <c r="B61" s="1" t="n">
        <v>44208</v>
      </c>
      <c r="C61" s="1" t="n">
        <v>45679</v>
      </c>
      <c r="D61" t="inlineStr">
        <is>
          <t>STOCKHOLMS LÄN</t>
        </is>
      </c>
      <c r="E61" t="inlineStr">
        <is>
          <t>HANINGE</t>
        </is>
      </c>
      <c r="G61" t="n">
        <v>4.2</v>
      </c>
      <c r="H61" t="n">
        <v>0</v>
      </c>
      <c r="I61" t="n">
        <v>0</v>
      </c>
      <c r="J61" t="n">
        <v>0</v>
      </c>
      <c r="K61" t="n">
        <v>0</v>
      </c>
      <c r="L61" t="n">
        <v>0</v>
      </c>
      <c r="M61" t="n">
        <v>0</v>
      </c>
      <c r="N61" t="n">
        <v>0</v>
      </c>
      <c r="O61" t="n">
        <v>0</v>
      </c>
      <c r="P61" t="n">
        <v>0</v>
      </c>
      <c r="Q61" t="n">
        <v>0</v>
      </c>
      <c r="R61" s="2" t="inlineStr"/>
    </row>
    <row r="62" ht="15" customHeight="1">
      <c r="A62" t="inlineStr">
        <is>
          <t>A 1438-2021</t>
        </is>
      </c>
      <c r="B62" s="1" t="n">
        <v>44208</v>
      </c>
      <c r="C62" s="1" t="n">
        <v>45679</v>
      </c>
      <c r="D62" t="inlineStr">
        <is>
          <t>STOCKHOLMS LÄN</t>
        </is>
      </c>
      <c r="E62" t="inlineStr">
        <is>
          <t>HANINGE</t>
        </is>
      </c>
      <c r="G62" t="n">
        <v>3</v>
      </c>
      <c r="H62" t="n">
        <v>0</v>
      </c>
      <c r="I62" t="n">
        <v>0</v>
      </c>
      <c r="J62" t="n">
        <v>0</v>
      </c>
      <c r="K62" t="n">
        <v>0</v>
      </c>
      <c r="L62" t="n">
        <v>0</v>
      </c>
      <c r="M62" t="n">
        <v>0</v>
      </c>
      <c r="N62" t="n">
        <v>0</v>
      </c>
      <c r="O62" t="n">
        <v>0</v>
      </c>
      <c r="P62" t="n">
        <v>0</v>
      </c>
      <c r="Q62" t="n">
        <v>0</v>
      </c>
      <c r="R62" s="2" t="inlineStr"/>
    </row>
    <row r="63" ht="15" customHeight="1">
      <c r="A63" t="inlineStr">
        <is>
          <t>A 1420-2021</t>
        </is>
      </c>
      <c r="B63" s="1" t="n">
        <v>44208</v>
      </c>
      <c r="C63" s="1" t="n">
        <v>45679</v>
      </c>
      <c r="D63" t="inlineStr">
        <is>
          <t>STOCKHOLMS LÄN</t>
        </is>
      </c>
      <c r="E63" t="inlineStr">
        <is>
          <t>HANINGE</t>
        </is>
      </c>
      <c r="G63" t="n">
        <v>6.3</v>
      </c>
      <c r="H63" t="n">
        <v>0</v>
      </c>
      <c r="I63" t="n">
        <v>0</v>
      </c>
      <c r="J63" t="n">
        <v>0</v>
      </c>
      <c r="K63" t="n">
        <v>0</v>
      </c>
      <c r="L63" t="n">
        <v>0</v>
      </c>
      <c r="M63" t="n">
        <v>0</v>
      </c>
      <c r="N63" t="n">
        <v>0</v>
      </c>
      <c r="O63" t="n">
        <v>0</v>
      </c>
      <c r="P63" t="n">
        <v>0</v>
      </c>
      <c r="Q63" t="n">
        <v>0</v>
      </c>
      <c r="R63" s="2" t="inlineStr"/>
    </row>
    <row r="64" ht="15" customHeight="1">
      <c r="A64" t="inlineStr">
        <is>
          <t>A 10677-2021</t>
        </is>
      </c>
      <c r="B64" s="1" t="n">
        <v>44258</v>
      </c>
      <c r="C64" s="1" t="n">
        <v>45679</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17825-2021</t>
        </is>
      </c>
      <c r="B65" s="1" t="n">
        <v>44300</v>
      </c>
      <c r="C65" s="1" t="n">
        <v>45679</v>
      </c>
      <c r="D65" t="inlineStr">
        <is>
          <t>STOCKHOLMS LÄN</t>
        </is>
      </c>
      <c r="E65" t="inlineStr">
        <is>
          <t>HANINGE</t>
        </is>
      </c>
      <c r="G65" t="n">
        <v>0.3</v>
      </c>
      <c r="H65" t="n">
        <v>0</v>
      </c>
      <c r="I65" t="n">
        <v>0</v>
      </c>
      <c r="J65" t="n">
        <v>0</v>
      </c>
      <c r="K65" t="n">
        <v>0</v>
      </c>
      <c r="L65" t="n">
        <v>0</v>
      </c>
      <c r="M65" t="n">
        <v>0</v>
      </c>
      <c r="N65" t="n">
        <v>0</v>
      </c>
      <c r="O65" t="n">
        <v>0</v>
      </c>
      <c r="P65" t="n">
        <v>0</v>
      </c>
      <c r="Q65" t="n">
        <v>0</v>
      </c>
      <c r="R65" s="2" t="inlineStr"/>
    </row>
    <row r="66" ht="15" customHeight="1">
      <c r="A66" t="inlineStr">
        <is>
          <t>A 31780-2021</t>
        </is>
      </c>
      <c r="B66" s="1" t="n">
        <v>44369</v>
      </c>
      <c r="C66" s="1" t="n">
        <v>45679</v>
      </c>
      <c r="D66" t="inlineStr">
        <is>
          <t>STOCKHOLMS LÄN</t>
        </is>
      </c>
      <c r="E66" t="inlineStr">
        <is>
          <t>HANINGE</t>
        </is>
      </c>
      <c r="G66" t="n">
        <v>11.5</v>
      </c>
      <c r="H66" t="n">
        <v>0</v>
      </c>
      <c r="I66" t="n">
        <v>0</v>
      </c>
      <c r="J66" t="n">
        <v>0</v>
      </c>
      <c r="K66" t="n">
        <v>0</v>
      </c>
      <c r="L66" t="n">
        <v>0</v>
      </c>
      <c r="M66" t="n">
        <v>0</v>
      </c>
      <c r="N66" t="n">
        <v>0</v>
      </c>
      <c r="O66" t="n">
        <v>0</v>
      </c>
      <c r="P66" t="n">
        <v>0</v>
      </c>
      <c r="Q66" t="n">
        <v>0</v>
      </c>
      <c r="R66" s="2" t="inlineStr"/>
    </row>
    <row r="67" ht="15" customHeight="1">
      <c r="A67" t="inlineStr">
        <is>
          <t>A 38595-2021</t>
        </is>
      </c>
      <c r="B67" s="1" t="n">
        <v>44407</v>
      </c>
      <c r="C67" s="1" t="n">
        <v>45679</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39651-2021</t>
        </is>
      </c>
      <c r="B68" s="1" t="n">
        <v>44417</v>
      </c>
      <c r="C68" s="1" t="n">
        <v>45679</v>
      </c>
      <c r="D68" t="inlineStr">
        <is>
          <t>STOCKHOLMS LÄN</t>
        </is>
      </c>
      <c r="E68" t="inlineStr">
        <is>
          <t>HANINGE</t>
        </is>
      </c>
      <c r="G68" t="n">
        <v>3.6</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45679</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43709-2021</t>
        </is>
      </c>
      <c r="B70" s="1" t="n">
        <v>44433</v>
      </c>
      <c r="C70" s="1" t="n">
        <v>45679</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45395-2021</t>
        </is>
      </c>
      <c r="B71" s="1" t="n">
        <v>44440</v>
      </c>
      <c r="C71" s="1" t="n">
        <v>45679</v>
      </c>
      <c r="D71" t="inlineStr">
        <is>
          <t>STOCKHOLMS LÄN</t>
        </is>
      </c>
      <c r="E71" t="inlineStr">
        <is>
          <t>HANINGE</t>
        </is>
      </c>
      <c r="F71" t="inlineStr">
        <is>
          <t>Övriga statliga verk och myndigheter</t>
        </is>
      </c>
      <c r="G71" t="n">
        <v>3.5</v>
      </c>
      <c r="H71" t="n">
        <v>0</v>
      </c>
      <c r="I71" t="n">
        <v>0</v>
      </c>
      <c r="J71" t="n">
        <v>0</v>
      </c>
      <c r="K71" t="n">
        <v>0</v>
      </c>
      <c r="L71" t="n">
        <v>0</v>
      </c>
      <c r="M71" t="n">
        <v>0</v>
      </c>
      <c r="N71" t="n">
        <v>0</v>
      </c>
      <c r="O71" t="n">
        <v>0</v>
      </c>
      <c r="P71" t="n">
        <v>0</v>
      </c>
      <c r="Q71" t="n">
        <v>0</v>
      </c>
      <c r="R71" s="2" t="inlineStr"/>
    </row>
    <row r="72" ht="15" customHeight="1">
      <c r="A72" t="inlineStr">
        <is>
          <t>A 50903-2021</t>
        </is>
      </c>
      <c r="B72" s="1" t="n">
        <v>44460</v>
      </c>
      <c r="C72" s="1" t="n">
        <v>45679</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55861-2021</t>
        </is>
      </c>
      <c r="B73" s="1" t="n">
        <v>44476</v>
      </c>
      <c r="C73" s="1" t="n">
        <v>45679</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55857-2021</t>
        </is>
      </c>
      <c r="B74" s="1" t="n">
        <v>44476</v>
      </c>
      <c r="C74" s="1" t="n">
        <v>45679</v>
      </c>
      <c r="D74" t="inlineStr">
        <is>
          <t>STOCKHOLMS LÄN</t>
        </is>
      </c>
      <c r="E74" t="inlineStr">
        <is>
          <t>HANINGE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55853-2021</t>
        </is>
      </c>
      <c r="B75" s="1" t="n">
        <v>44476</v>
      </c>
      <c r="C75" s="1" t="n">
        <v>45679</v>
      </c>
      <c r="D75" t="inlineStr">
        <is>
          <t>STOCKHOLMS LÄN</t>
        </is>
      </c>
      <c r="E75" t="inlineStr">
        <is>
          <t>HANINGE</t>
        </is>
      </c>
      <c r="F75" t="inlineStr">
        <is>
          <t>Kommuner</t>
        </is>
      </c>
      <c r="G75" t="n">
        <v>1.3</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45679</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68894-2021</t>
        </is>
      </c>
      <c r="B77" s="1" t="n">
        <v>44526</v>
      </c>
      <c r="C77" s="1" t="n">
        <v>45679</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68904-2021</t>
        </is>
      </c>
      <c r="B78" s="1" t="n">
        <v>44526</v>
      </c>
      <c r="C78" s="1" t="n">
        <v>45679</v>
      </c>
      <c r="D78" t="inlineStr">
        <is>
          <t>STOCKHOLMS LÄN</t>
        </is>
      </c>
      <c r="E78" t="inlineStr">
        <is>
          <t>HANINGE</t>
        </is>
      </c>
      <c r="G78" t="n">
        <v>2.4</v>
      </c>
      <c r="H78" t="n">
        <v>0</v>
      </c>
      <c r="I78" t="n">
        <v>0</v>
      </c>
      <c r="J78" t="n">
        <v>0</v>
      </c>
      <c r="K78" t="n">
        <v>0</v>
      </c>
      <c r="L78" t="n">
        <v>0</v>
      </c>
      <c r="M78" t="n">
        <v>0</v>
      </c>
      <c r="N78" t="n">
        <v>0</v>
      </c>
      <c r="O78" t="n">
        <v>0</v>
      </c>
      <c r="P78" t="n">
        <v>0</v>
      </c>
      <c r="Q78" t="n">
        <v>0</v>
      </c>
      <c r="R78" s="2" t="inlineStr"/>
    </row>
    <row r="79" ht="15" customHeight="1">
      <c r="A79" t="inlineStr">
        <is>
          <t>A 3706-2022</t>
        </is>
      </c>
      <c r="B79" s="1" t="n">
        <v>44586</v>
      </c>
      <c r="C79" s="1" t="n">
        <v>45679</v>
      </c>
      <c r="D79" t="inlineStr">
        <is>
          <t>STOCKHOLMS LÄN</t>
        </is>
      </c>
      <c r="E79" t="inlineStr">
        <is>
          <t>HANINGE</t>
        </is>
      </c>
      <c r="G79" t="n">
        <v>2.9</v>
      </c>
      <c r="H79" t="n">
        <v>0</v>
      </c>
      <c r="I79" t="n">
        <v>0</v>
      </c>
      <c r="J79" t="n">
        <v>0</v>
      </c>
      <c r="K79" t="n">
        <v>0</v>
      </c>
      <c r="L79" t="n">
        <v>0</v>
      </c>
      <c r="M79" t="n">
        <v>0</v>
      </c>
      <c r="N79" t="n">
        <v>0</v>
      </c>
      <c r="O79" t="n">
        <v>0</v>
      </c>
      <c r="P79" t="n">
        <v>0</v>
      </c>
      <c r="Q79" t="n">
        <v>0</v>
      </c>
      <c r="R79" s="2" t="inlineStr"/>
    </row>
    <row r="80" ht="15" customHeight="1">
      <c r="A80" t="inlineStr">
        <is>
          <t>A 13135-2022</t>
        </is>
      </c>
      <c r="B80" s="1" t="n">
        <v>44643</v>
      </c>
      <c r="C80" s="1" t="n">
        <v>45679</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17020-2022</t>
        </is>
      </c>
      <c r="B81" s="1" t="n">
        <v>44676</v>
      </c>
      <c r="C81" s="1" t="n">
        <v>45679</v>
      </c>
      <c r="D81" t="inlineStr">
        <is>
          <t>STOCKHOLMS LÄN</t>
        </is>
      </c>
      <c r="E81" t="inlineStr">
        <is>
          <t>HANINGE</t>
        </is>
      </c>
      <c r="F81" t="inlineStr">
        <is>
          <t>Övriga statliga verk och myndigheter</t>
        </is>
      </c>
      <c r="G81" t="n">
        <v>12.4</v>
      </c>
      <c r="H81" t="n">
        <v>0</v>
      </c>
      <c r="I81" t="n">
        <v>0</v>
      </c>
      <c r="J81" t="n">
        <v>0</v>
      </c>
      <c r="K81" t="n">
        <v>0</v>
      </c>
      <c r="L81" t="n">
        <v>0</v>
      </c>
      <c r="M81" t="n">
        <v>0</v>
      </c>
      <c r="N81" t="n">
        <v>0</v>
      </c>
      <c r="O81" t="n">
        <v>0</v>
      </c>
      <c r="P81" t="n">
        <v>0</v>
      </c>
      <c r="Q81" t="n">
        <v>0</v>
      </c>
      <c r="R81" s="2" t="inlineStr"/>
    </row>
    <row r="82" ht="15" customHeight="1">
      <c r="A82" t="inlineStr">
        <is>
          <t>A 17023-2022</t>
        </is>
      </c>
      <c r="B82" s="1" t="n">
        <v>44676</v>
      </c>
      <c r="C82" s="1" t="n">
        <v>45679</v>
      </c>
      <c r="D82" t="inlineStr">
        <is>
          <t>STOCKHOLMS LÄN</t>
        </is>
      </c>
      <c r="E82" t="inlineStr">
        <is>
          <t>HANINGE</t>
        </is>
      </c>
      <c r="F82" t="inlineStr">
        <is>
          <t>Övriga statliga verk och myndigheter</t>
        </is>
      </c>
      <c r="G82" t="n">
        <v>11.4</v>
      </c>
      <c r="H82" t="n">
        <v>0</v>
      </c>
      <c r="I82" t="n">
        <v>0</v>
      </c>
      <c r="J82" t="n">
        <v>0</v>
      </c>
      <c r="K82" t="n">
        <v>0</v>
      </c>
      <c r="L82" t="n">
        <v>0</v>
      </c>
      <c r="M82" t="n">
        <v>0</v>
      </c>
      <c r="N82" t="n">
        <v>0</v>
      </c>
      <c r="O82" t="n">
        <v>0</v>
      </c>
      <c r="P82" t="n">
        <v>0</v>
      </c>
      <c r="Q82" t="n">
        <v>0</v>
      </c>
      <c r="R82" s="2" t="inlineStr"/>
    </row>
    <row r="83" ht="15" customHeight="1">
      <c r="A83" t="inlineStr">
        <is>
          <t>A 19652-2022</t>
        </is>
      </c>
      <c r="B83" s="1" t="n">
        <v>44694</v>
      </c>
      <c r="C83" s="1" t="n">
        <v>45679</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30419-2022</t>
        </is>
      </c>
      <c r="B84" s="1" t="n">
        <v>44761</v>
      </c>
      <c r="C84" s="1" t="n">
        <v>45679</v>
      </c>
      <c r="D84" t="inlineStr">
        <is>
          <t>STOCKHOLMS LÄN</t>
        </is>
      </c>
      <c r="E84" t="inlineStr">
        <is>
          <t>HANINGE</t>
        </is>
      </c>
      <c r="G84" t="n">
        <v>7.4</v>
      </c>
      <c r="H84" t="n">
        <v>0</v>
      </c>
      <c r="I84" t="n">
        <v>0</v>
      </c>
      <c r="J84" t="n">
        <v>0</v>
      </c>
      <c r="K84" t="n">
        <v>0</v>
      </c>
      <c r="L84" t="n">
        <v>0</v>
      </c>
      <c r="M84" t="n">
        <v>0</v>
      </c>
      <c r="N84" t="n">
        <v>0</v>
      </c>
      <c r="O84" t="n">
        <v>0</v>
      </c>
      <c r="P84" t="n">
        <v>0</v>
      </c>
      <c r="Q84" t="n">
        <v>0</v>
      </c>
      <c r="R84" s="2" t="inlineStr"/>
    </row>
    <row r="85" ht="15" customHeight="1">
      <c r="A85" t="inlineStr">
        <is>
          <t>A 37000-2022</t>
        </is>
      </c>
      <c r="B85" s="1" t="n">
        <v>44806</v>
      </c>
      <c r="C85" s="1" t="n">
        <v>45679</v>
      </c>
      <c r="D85" t="inlineStr">
        <is>
          <t>STOCKHOLMS LÄN</t>
        </is>
      </c>
      <c r="E85" t="inlineStr">
        <is>
          <t>HANINGE</t>
        </is>
      </c>
      <c r="F85" t="inlineStr">
        <is>
          <t>Övriga statliga verk och myndigheter</t>
        </is>
      </c>
      <c r="G85" t="n">
        <v>2</v>
      </c>
      <c r="H85" t="n">
        <v>0</v>
      </c>
      <c r="I85" t="n">
        <v>0</v>
      </c>
      <c r="J85" t="n">
        <v>0</v>
      </c>
      <c r="K85" t="n">
        <v>0</v>
      </c>
      <c r="L85" t="n">
        <v>0</v>
      </c>
      <c r="M85" t="n">
        <v>0</v>
      </c>
      <c r="N85" t="n">
        <v>0</v>
      </c>
      <c r="O85" t="n">
        <v>0</v>
      </c>
      <c r="P85" t="n">
        <v>0</v>
      </c>
      <c r="Q85" t="n">
        <v>0</v>
      </c>
      <c r="R85" s="2" t="inlineStr"/>
    </row>
    <row r="86" ht="15" customHeight="1">
      <c r="A86" t="inlineStr">
        <is>
          <t>A 41263-2022</t>
        </is>
      </c>
      <c r="B86" s="1" t="n">
        <v>44825</v>
      </c>
      <c r="C86" s="1" t="n">
        <v>45679</v>
      </c>
      <c r="D86" t="inlineStr">
        <is>
          <t>STOCKHOLMS LÄN</t>
        </is>
      </c>
      <c r="E86" t="inlineStr">
        <is>
          <t>HANINGE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41266-2022</t>
        </is>
      </c>
      <c r="B87" s="1" t="n">
        <v>44825</v>
      </c>
      <c r="C87" s="1" t="n">
        <v>45679</v>
      </c>
      <c r="D87" t="inlineStr">
        <is>
          <t>STOCKHOLMS LÄN</t>
        </is>
      </c>
      <c r="E87" t="inlineStr">
        <is>
          <t>HANINGE</t>
        </is>
      </c>
      <c r="F87" t="inlineStr">
        <is>
          <t>Övriga statliga verk och myndigheter</t>
        </is>
      </c>
      <c r="G87" t="n">
        <v>1.6</v>
      </c>
      <c r="H87" t="n">
        <v>0</v>
      </c>
      <c r="I87" t="n">
        <v>0</v>
      </c>
      <c r="J87" t="n">
        <v>0</v>
      </c>
      <c r="K87" t="n">
        <v>0</v>
      </c>
      <c r="L87" t="n">
        <v>0</v>
      </c>
      <c r="M87" t="n">
        <v>0</v>
      </c>
      <c r="N87" t="n">
        <v>0</v>
      </c>
      <c r="O87" t="n">
        <v>0</v>
      </c>
      <c r="P87" t="n">
        <v>0</v>
      </c>
      <c r="Q87" t="n">
        <v>0</v>
      </c>
      <c r="R87" s="2" t="inlineStr"/>
    </row>
    <row r="88" ht="15" customHeight="1">
      <c r="A88" t="inlineStr">
        <is>
          <t>A 41259-2022</t>
        </is>
      </c>
      <c r="B88" s="1" t="n">
        <v>44825</v>
      </c>
      <c r="C88" s="1" t="n">
        <v>45679</v>
      </c>
      <c r="D88" t="inlineStr">
        <is>
          <t>STOCKHOLMS LÄN</t>
        </is>
      </c>
      <c r="E88" t="inlineStr">
        <is>
          <t>HANINGE</t>
        </is>
      </c>
      <c r="F88" t="inlineStr">
        <is>
          <t>Övriga statliga verk och myndigheter</t>
        </is>
      </c>
      <c r="G88" t="n">
        <v>2.9</v>
      </c>
      <c r="H88" t="n">
        <v>0</v>
      </c>
      <c r="I88" t="n">
        <v>0</v>
      </c>
      <c r="J88" t="n">
        <v>0</v>
      </c>
      <c r="K88" t="n">
        <v>0</v>
      </c>
      <c r="L88" t="n">
        <v>0</v>
      </c>
      <c r="M88" t="n">
        <v>0</v>
      </c>
      <c r="N88" t="n">
        <v>0</v>
      </c>
      <c r="O88" t="n">
        <v>0</v>
      </c>
      <c r="P88" t="n">
        <v>0</v>
      </c>
      <c r="Q88" t="n">
        <v>0</v>
      </c>
      <c r="R88" s="2" t="inlineStr"/>
    </row>
    <row r="89" ht="15" customHeight="1">
      <c r="A89" t="inlineStr">
        <is>
          <t>A 45498-2022</t>
        </is>
      </c>
      <c r="B89" s="1" t="n">
        <v>44845</v>
      </c>
      <c r="C89" s="1" t="n">
        <v>45679</v>
      </c>
      <c r="D89" t="inlineStr">
        <is>
          <t>STOCKHOLMS LÄN</t>
        </is>
      </c>
      <c r="E89" t="inlineStr">
        <is>
          <t>HANINGE</t>
        </is>
      </c>
      <c r="G89" t="n">
        <v>2.1</v>
      </c>
      <c r="H89" t="n">
        <v>0</v>
      </c>
      <c r="I89" t="n">
        <v>0</v>
      </c>
      <c r="J89" t="n">
        <v>0</v>
      </c>
      <c r="K89" t="n">
        <v>0</v>
      </c>
      <c r="L89" t="n">
        <v>0</v>
      </c>
      <c r="M89" t="n">
        <v>0</v>
      </c>
      <c r="N89" t="n">
        <v>0</v>
      </c>
      <c r="O89" t="n">
        <v>0</v>
      </c>
      <c r="P89" t="n">
        <v>0</v>
      </c>
      <c r="Q89" t="n">
        <v>0</v>
      </c>
      <c r="R89" s="2" t="inlineStr"/>
    </row>
    <row r="90" ht="15" customHeight="1">
      <c r="A90" t="inlineStr">
        <is>
          <t>A 45501-2022</t>
        </is>
      </c>
      <c r="B90" s="1" t="n">
        <v>44845</v>
      </c>
      <c r="C90" s="1" t="n">
        <v>45679</v>
      </c>
      <c r="D90" t="inlineStr">
        <is>
          <t>STOCKHOLMS LÄN</t>
        </is>
      </c>
      <c r="E90" t="inlineStr">
        <is>
          <t>HANINGE</t>
        </is>
      </c>
      <c r="G90" t="n">
        <v>2.7</v>
      </c>
      <c r="H90" t="n">
        <v>0</v>
      </c>
      <c r="I90" t="n">
        <v>0</v>
      </c>
      <c r="J90" t="n">
        <v>0</v>
      </c>
      <c r="K90" t="n">
        <v>0</v>
      </c>
      <c r="L90" t="n">
        <v>0</v>
      </c>
      <c r="M90" t="n">
        <v>0</v>
      </c>
      <c r="N90" t="n">
        <v>0</v>
      </c>
      <c r="O90" t="n">
        <v>0</v>
      </c>
      <c r="P90" t="n">
        <v>0</v>
      </c>
      <c r="Q90" t="n">
        <v>0</v>
      </c>
      <c r="R90" s="2" t="inlineStr"/>
    </row>
    <row r="91" ht="15" customHeight="1">
      <c r="A91" t="inlineStr">
        <is>
          <t>A 1703-2023</t>
        </is>
      </c>
      <c r="B91" s="1" t="n">
        <v>44938</v>
      </c>
      <c r="C91" s="1" t="n">
        <v>45679</v>
      </c>
      <c r="D91" t="inlineStr">
        <is>
          <t>STOCKHOLMS LÄN</t>
        </is>
      </c>
      <c r="E91" t="inlineStr">
        <is>
          <t>HANINGE</t>
        </is>
      </c>
      <c r="G91" t="n">
        <v>1.8</v>
      </c>
      <c r="H91" t="n">
        <v>0</v>
      </c>
      <c r="I91" t="n">
        <v>0</v>
      </c>
      <c r="J91" t="n">
        <v>0</v>
      </c>
      <c r="K91" t="n">
        <v>0</v>
      </c>
      <c r="L91" t="n">
        <v>0</v>
      </c>
      <c r="M91" t="n">
        <v>0</v>
      </c>
      <c r="N91" t="n">
        <v>0</v>
      </c>
      <c r="O91" t="n">
        <v>0</v>
      </c>
      <c r="P91" t="n">
        <v>0</v>
      </c>
      <c r="Q91" t="n">
        <v>0</v>
      </c>
      <c r="R91" s="2" t="inlineStr"/>
    </row>
    <row r="92" ht="15" customHeight="1">
      <c r="A92" t="inlineStr">
        <is>
          <t>A 5243-2023</t>
        </is>
      </c>
      <c r="B92" s="1" t="n">
        <v>44956</v>
      </c>
      <c r="C92" s="1" t="n">
        <v>45679</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6648-2023</t>
        </is>
      </c>
      <c r="B93" s="1" t="n">
        <v>44966</v>
      </c>
      <c r="C93" s="1" t="n">
        <v>45679</v>
      </c>
      <c r="D93" t="inlineStr">
        <is>
          <t>STOCKHOLMS LÄN</t>
        </is>
      </c>
      <c r="E93" t="inlineStr">
        <is>
          <t>HANINGE</t>
        </is>
      </c>
      <c r="G93" t="n">
        <v>4</v>
      </c>
      <c r="H93" t="n">
        <v>0</v>
      </c>
      <c r="I93" t="n">
        <v>0</v>
      </c>
      <c r="J93" t="n">
        <v>0</v>
      </c>
      <c r="K93" t="n">
        <v>0</v>
      </c>
      <c r="L93" t="n">
        <v>0</v>
      </c>
      <c r="M93" t="n">
        <v>0</v>
      </c>
      <c r="N93" t="n">
        <v>0</v>
      </c>
      <c r="O93" t="n">
        <v>0</v>
      </c>
      <c r="P93" t="n">
        <v>0</v>
      </c>
      <c r="Q93" t="n">
        <v>0</v>
      </c>
      <c r="R93" s="2" t="inlineStr"/>
    </row>
    <row r="94" ht="15" customHeight="1">
      <c r="A94" t="inlineStr">
        <is>
          <t>A 16842-2023</t>
        </is>
      </c>
      <c r="B94" s="1" t="n">
        <v>45033</v>
      </c>
      <c r="C94" s="1" t="n">
        <v>45679</v>
      </c>
      <c r="D94" t="inlineStr">
        <is>
          <t>STOCKHOLMS LÄN</t>
        </is>
      </c>
      <c r="E94" t="inlineStr">
        <is>
          <t>HANINGE</t>
        </is>
      </c>
      <c r="G94" t="n">
        <v>3.2</v>
      </c>
      <c r="H94" t="n">
        <v>0</v>
      </c>
      <c r="I94" t="n">
        <v>0</v>
      </c>
      <c r="J94" t="n">
        <v>0</v>
      </c>
      <c r="K94" t="n">
        <v>0</v>
      </c>
      <c r="L94" t="n">
        <v>0</v>
      </c>
      <c r="M94" t="n">
        <v>0</v>
      </c>
      <c r="N94" t="n">
        <v>0</v>
      </c>
      <c r="O94" t="n">
        <v>0</v>
      </c>
      <c r="P94" t="n">
        <v>0</v>
      </c>
      <c r="Q94" t="n">
        <v>0</v>
      </c>
      <c r="R94" s="2" t="inlineStr"/>
    </row>
    <row r="95" ht="15" customHeight="1">
      <c r="A95" t="inlineStr">
        <is>
          <t>A 19220-2023</t>
        </is>
      </c>
      <c r="B95" s="1" t="n">
        <v>45048</v>
      </c>
      <c r="C95" s="1" t="n">
        <v>45679</v>
      </c>
      <c r="D95" t="inlineStr">
        <is>
          <t>STOCKHOLMS LÄN</t>
        </is>
      </c>
      <c r="E95" t="inlineStr">
        <is>
          <t>HANINGE</t>
        </is>
      </c>
      <c r="G95" t="n">
        <v>1.4</v>
      </c>
      <c r="H95" t="n">
        <v>0</v>
      </c>
      <c r="I95" t="n">
        <v>0</v>
      </c>
      <c r="J95" t="n">
        <v>0</v>
      </c>
      <c r="K95" t="n">
        <v>0</v>
      </c>
      <c r="L95" t="n">
        <v>0</v>
      </c>
      <c r="M95" t="n">
        <v>0</v>
      </c>
      <c r="N95" t="n">
        <v>0</v>
      </c>
      <c r="O95" t="n">
        <v>0</v>
      </c>
      <c r="P95" t="n">
        <v>0</v>
      </c>
      <c r="Q95" t="n">
        <v>0</v>
      </c>
      <c r="R95" s="2" t="inlineStr"/>
    </row>
    <row r="96" ht="15" customHeight="1">
      <c r="A96" t="inlineStr">
        <is>
          <t>A 22288-2023</t>
        </is>
      </c>
      <c r="B96" s="1" t="n">
        <v>45070</v>
      </c>
      <c r="C96" s="1" t="n">
        <v>45679</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ht="15" customHeight="1">
      <c r="A97" t="inlineStr">
        <is>
          <t>A 24873-2023</t>
        </is>
      </c>
      <c r="B97" s="1" t="n">
        <v>45085</v>
      </c>
      <c r="C97" s="1" t="n">
        <v>45679</v>
      </c>
      <c r="D97" t="inlineStr">
        <is>
          <t>STOCKHOLMS LÄN</t>
        </is>
      </c>
      <c r="E97" t="inlineStr">
        <is>
          <t>HANINGE</t>
        </is>
      </c>
      <c r="G97" t="n">
        <v>1.9</v>
      </c>
      <c r="H97" t="n">
        <v>0</v>
      </c>
      <c r="I97" t="n">
        <v>0</v>
      </c>
      <c r="J97" t="n">
        <v>0</v>
      </c>
      <c r="K97" t="n">
        <v>0</v>
      </c>
      <c r="L97" t="n">
        <v>0</v>
      </c>
      <c r="M97" t="n">
        <v>0</v>
      </c>
      <c r="N97" t="n">
        <v>0</v>
      </c>
      <c r="O97" t="n">
        <v>0</v>
      </c>
      <c r="P97" t="n">
        <v>0</v>
      </c>
      <c r="Q97" t="n">
        <v>0</v>
      </c>
      <c r="R97" s="2" t="inlineStr"/>
    </row>
    <row r="98" ht="15" customHeight="1">
      <c r="A98" t="inlineStr">
        <is>
          <t>A 25584-2023</t>
        </is>
      </c>
      <c r="B98" s="1" t="n">
        <v>45089</v>
      </c>
      <c r="C98" s="1" t="n">
        <v>45679</v>
      </c>
      <c r="D98" t="inlineStr">
        <is>
          <t>STOCKHOLMS LÄN</t>
        </is>
      </c>
      <c r="E98" t="inlineStr">
        <is>
          <t>HANINGE</t>
        </is>
      </c>
      <c r="G98" t="n">
        <v>4.8</v>
      </c>
      <c r="H98" t="n">
        <v>0</v>
      </c>
      <c r="I98" t="n">
        <v>0</v>
      </c>
      <c r="J98" t="n">
        <v>0</v>
      </c>
      <c r="K98" t="n">
        <v>0</v>
      </c>
      <c r="L98" t="n">
        <v>0</v>
      </c>
      <c r="M98" t="n">
        <v>0</v>
      </c>
      <c r="N98" t="n">
        <v>0</v>
      </c>
      <c r="O98" t="n">
        <v>0</v>
      </c>
      <c r="P98" t="n">
        <v>0</v>
      </c>
      <c r="Q98" t="n">
        <v>0</v>
      </c>
      <c r="R98" s="2" t="inlineStr"/>
    </row>
    <row r="99" ht="15" customHeight="1">
      <c r="A99" t="inlineStr">
        <is>
          <t>A 33792-2023</t>
        </is>
      </c>
      <c r="B99" s="1" t="n">
        <v>45121</v>
      </c>
      <c r="C99" s="1" t="n">
        <v>45679</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34171-2023</t>
        </is>
      </c>
      <c r="B100" s="1" t="n">
        <v>45126</v>
      </c>
      <c r="C100" s="1" t="n">
        <v>45679</v>
      </c>
      <c r="D100" t="inlineStr">
        <is>
          <t>STOCKHOLMS LÄN</t>
        </is>
      </c>
      <c r="E100" t="inlineStr">
        <is>
          <t>HANINGE</t>
        </is>
      </c>
      <c r="G100" t="n">
        <v>1.5</v>
      </c>
      <c r="H100" t="n">
        <v>0</v>
      </c>
      <c r="I100" t="n">
        <v>0</v>
      </c>
      <c r="J100" t="n">
        <v>0</v>
      </c>
      <c r="K100" t="n">
        <v>0</v>
      </c>
      <c r="L100" t="n">
        <v>0</v>
      </c>
      <c r="M100" t="n">
        <v>0</v>
      </c>
      <c r="N100" t="n">
        <v>0</v>
      </c>
      <c r="O100" t="n">
        <v>0</v>
      </c>
      <c r="P100" t="n">
        <v>0</v>
      </c>
      <c r="Q100" t="n">
        <v>0</v>
      </c>
      <c r="R100" s="2" t="inlineStr"/>
    </row>
    <row r="101" ht="15" customHeight="1">
      <c r="A101" t="inlineStr">
        <is>
          <t>A 50306-2023</t>
        </is>
      </c>
      <c r="B101" s="1" t="n">
        <v>45209</v>
      </c>
      <c r="C101" s="1" t="n">
        <v>45679</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c r="U101">
        <f>HYPERLINK("https://klasma.github.io/Logging_0136/knärot/A 50306-2023 karta knärot.png", "A 50306-2023")</f>
        <v/>
      </c>
      <c r="V101">
        <f>HYPERLINK("https://klasma.github.io/Logging_0136/klagomål/A 50306-2023 FSC-klagomål.docx", "A 50306-2023")</f>
        <v/>
      </c>
      <c r="W101">
        <f>HYPERLINK("https://klasma.github.io/Logging_0136/klagomålsmail/A 50306-2023 FSC-klagomål mail.docx", "A 50306-2023")</f>
        <v/>
      </c>
      <c r="X101">
        <f>HYPERLINK("https://klasma.github.io/Logging_0136/tillsyn/A 50306-2023 tillsynsbegäran.docx", "A 50306-2023")</f>
        <v/>
      </c>
      <c r="Y101">
        <f>HYPERLINK("https://klasma.github.io/Logging_0136/tillsynsmail/A 50306-2023 tillsynsbegäran mail.docx", "A 50306-2023")</f>
        <v/>
      </c>
    </row>
    <row r="102" ht="15" customHeight="1">
      <c r="A102" t="inlineStr">
        <is>
          <t>A 56392-2023</t>
        </is>
      </c>
      <c r="B102" s="1" t="n">
        <v>45237</v>
      </c>
      <c r="C102" s="1" t="n">
        <v>45679</v>
      </c>
      <c r="D102" t="inlineStr">
        <is>
          <t>STOCKHOLMS LÄN</t>
        </is>
      </c>
      <c r="E102" t="inlineStr">
        <is>
          <t>HANINGE</t>
        </is>
      </c>
      <c r="G102" t="n">
        <v>2.5</v>
      </c>
      <c r="H102" t="n">
        <v>0</v>
      </c>
      <c r="I102" t="n">
        <v>0</v>
      </c>
      <c r="J102" t="n">
        <v>0</v>
      </c>
      <c r="K102" t="n">
        <v>0</v>
      </c>
      <c r="L102" t="n">
        <v>0</v>
      </c>
      <c r="M102" t="n">
        <v>0</v>
      </c>
      <c r="N102" t="n">
        <v>0</v>
      </c>
      <c r="O102" t="n">
        <v>0</v>
      </c>
      <c r="P102" t="n">
        <v>0</v>
      </c>
      <c r="Q102" t="n">
        <v>0</v>
      </c>
      <c r="R102" s="2" t="inlineStr"/>
    </row>
    <row r="103" ht="15" customHeight="1">
      <c r="A103" t="inlineStr">
        <is>
          <t>A 58589-2023</t>
        </is>
      </c>
      <c r="B103" s="1" t="n">
        <v>45251</v>
      </c>
      <c r="C103" s="1" t="n">
        <v>45679</v>
      </c>
      <c r="D103" t="inlineStr">
        <is>
          <t>STOCKHOLMS LÄN</t>
        </is>
      </c>
      <c r="E103" t="inlineStr">
        <is>
          <t>HANINGE</t>
        </is>
      </c>
      <c r="G103" t="n">
        <v>2.3</v>
      </c>
      <c r="H103" t="n">
        <v>0</v>
      </c>
      <c r="I103" t="n">
        <v>0</v>
      </c>
      <c r="J103" t="n">
        <v>0</v>
      </c>
      <c r="K103" t="n">
        <v>0</v>
      </c>
      <c r="L103" t="n">
        <v>0</v>
      </c>
      <c r="M103" t="n">
        <v>0</v>
      </c>
      <c r="N103" t="n">
        <v>0</v>
      </c>
      <c r="O103" t="n">
        <v>0</v>
      </c>
      <c r="P103" t="n">
        <v>0</v>
      </c>
      <c r="Q103" t="n">
        <v>0</v>
      </c>
      <c r="R103" s="2" t="inlineStr"/>
    </row>
    <row r="104" ht="15" customHeight="1">
      <c r="A104" t="inlineStr">
        <is>
          <t>A 58605-2023</t>
        </is>
      </c>
      <c r="B104" s="1" t="n">
        <v>45251</v>
      </c>
      <c r="C104" s="1" t="n">
        <v>45679</v>
      </c>
      <c r="D104" t="inlineStr">
        <is>
          <t>STOCKHOLMS LÄN</t>
        </is>
      </c>
      <c r="E104" t="inlineStr">
        <is>
          <t>HANINGE</t>
        </is>
      </c>
      <c r="G104" t="n">
        <v>2</v>
      </c>
      <c r="H104" t="n">
        <v>0</v>
      </c>
      <c r="I104" t="n">
        <v>0</v>
      </c>
      <c r="J104" t="n">
        <v>0</v>
      </c>
      <c r="K104" t="n">
        <v>0</v>
      </c>
      <c r="L104" t="n">
        <v>0</v>
      </c>
      <c r="M104" t="n">
        <v>0</v>
      </c>
      <c r="N104" t="n">
        <v>0</v>
      </c>
      <c r="O104" t="n">
        <v>0</v>
      </c>
      <c r="P104" t="n">
        <v>0</v>
      </c>
      <c r="Q104" t="n">
        <v>0</v>
      </c>
      <c r="R104" s="2" t="inlineStr"/>
    </row>
    <row r="105" ht="15" customHeight="1">
      <c r="A105" t="inlineStr">
        <is>
          <t>A 58599-2023</t>
        </is>
      </c>
      <c r="B105" s="1" t="n">
        <v>45251</v>
      </c>
      <c r="C105" s="1" t="n">
        <v>45679</v>
      </c>
      <c r="D105" t="inlineStr">
        <is>
          <t>STOCKHOLMS LÄN</t>
        </is>
      </c>
      <c r="E105" t="inlineStr">
        <is>
          <t>HANINGE</t>
        </is>
      </c>
      <c r="G105" t="n">
        <v>3.2</v>
      </c>
      <c r="H105" t="n">
        <v>0</v>
      </c>
      <c r="I105" t="n">
        <v>0</v>
      </c>
      <c r="J105" t="n">
        <v>0</v>
      </c>
      <c r="K105" t="n">
        <v>0</v>
      </c>
      <c r="L105" t="n">
        <v>0</v>
      </c>
      <c r="M105" t="n">
        <v>0</v>
      </c>
      <c r="N105" t="n">
        <v>0</v>
      </c>
      <c r="O105" t="n">
        <v>0</v>
      </c>
      <c r="P105" t="n">
        <v>0</v>
      </c>
      <c r="Q105" t="n">
        <v>0</v>
      </c>
      <c r="R105" s="2" t="inlineStr"/>
    </row>
    <row r="106" ht="15" customHeight="1">
      <c r="A106" t="inlineStr">
        <is>
          <t>A 60223-2023</t>
        </is>
      </c>
      <c r="B106" s="1" t="n">
        <v>45258</v>
      </c>
      <c r="C106" s="1" t="n">
        <v>45679</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60229-2023</t>
        </is>
      </c>
      <c r="B107" s="1" t="n">
        <v>45258</v>
      </c>
      <c r="C107" s="1" t="n">
        <v>45679</v>
      </c>
      <c r="D107" t="inlineStr">
        <is>
          <t>STOCKHOLMS LÄN</t>
        </is>
      </c>
      <c r="E107" t="inlineStr">
        <is>
          <t>HANINGE</t>
        </is>
      </c>
      <c r="G107" t="n">
        <v>2.8</v>
      </c>
      <c r="H107" t="n">
        <v>0</v>
      </c>
      <c r="I107" t="n">
        <v>0</v>
      </c>
      <c r="J107" t="n">
        <v>0</v>
      </c>
      <c r="K107" t="n">
        <v>0</v>
      </c>
      <c r="L107" t="n">
        <v>0</v>
      </c>
      <c r="M107" t="n">
        <v>0</v>
      </c>
      <c r="N107" t="n">
        <v>0</v>
      </c>
      <c r="O107" t="n">
        <v>0</v>
      </c>
      <c r="P107" t="n">
        <v>0</v>
      </c>
      <c r="Q107" t="n">
        <v>0</v>
      </c>
      <c r="R107" s="2" t="inlineStr"/>
    </row>
    <row r="108" ht="15" customHeight="1">
      <c r="A108" t="inlineStr">
        <is>
          <t>A 60225-2023</t>
        </is>
      </c>
      <c r="B108" s="1" t="n">
        <v>45258</v>
      </c>
      <c r="C108" s="1" t="n">
        <v>45679</v>
      </c>
      <c r="D108" t="inlineStr">
        <is>
          <t>STOCKHOLMS LÄN</t>
        </is>
      </c>
      <c r="E108" t="inlineStr">
        <is>
          <t>HANINGE</t>
        </is>
      </c>
      <c r="G108" t="n">
        <v>5.7</v>
      </c>
      <c r="H108" t="n">
        <v>0</v>
      </c>
      <c r="I108" t="n">
        <v>0</v>
      </c>
      <c r="J108" t="n">
        <v>0</v>
      </c>
      <c r="K108" t="n">
        <v>0</v>
      </c>
      <c r="L108" t="n">
        <v>0</v>
      </c>
      <c r="M108" t="n">
        <v>0</v>
      </c>
      <c r="N108" t="n">
        <v>0</v>
      </c>
      <c r="O108" t="n">
        <v>0</v>
      </c>
      <c r="P108" t="n">
        <v>0</v>
      </c>
      <c r="Q108" t="n">
        <v>0</v>
      </c>
      <c r="R108" s="2" t="inlineStr"/>
    </row>
    <row r="109" ht="15" customHeight="1">
      <c r="A109" t="inlineStr">
        <is>
          <t>A 60234-2023</t>
        </is>
      </c>
      <c r="B109" s="1" t="n">
        <v>45258</v>
      </c>
      <c r="C109" s="1" t="n">
        <v>45679</v>
      </c>
      <c r="D109" t="inlineStr">
        <is>
          <t>STOCKHOLMS LÄN</t>
        </is>
      </c>
      <c r="E109" t="inlineStr">
        <is>
          <t>HANINGE</t>
        </is>
      </c>
      <c r="G109" t="n">
        <v>1.1</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45679</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45679</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60294-2023</t>
        </is>
      </c>
      <c r="B112" s="1" t="n">
        <v>45258</v>
      </c>
      <c r="C112" s="1" t="n">
        <v>45679</v>
      </c>
      <c r="D112" t="inlineStr">
        <is>
          <t>STOCKHOLMS LÄN</t>
        </is>
      </c>
      <c r="E112" t="inlineStr">
        <is>
          <t>HANINGE</t>
        </is>
      </c>
      <c r="G112" t="n">
        <v>2.2</v>
      </c>
      <c r="H112" t="n">
        <v>0</v>
      </c>
      <c r="I112" t="n">
        <v>0</v>
      </c>
      <c r="J112" t="n">
        <v>0</v>
      </c>
      <c r="K112" t="n">
        <v>0</v>
      </c>
      <c r="L112" t="n">
        <v>0</v>
      </c>
      <c r="M112" t="n">
        <v>0</v>
      </c>
      <c r="N112" t="n">
        <v>0</v>
      </c>
      <c r="O112" t="n">
        <v>0</v>
      </c>
      <c r="P112" t="n">
        <v>0</v>
      </c>
      <c r="Q112" t="n">
        <v>0</v>
      </c>
      <c r="R112" s="2" t="inlineStr"/>
    </row>
    <row r="113" ht="15" customHeight="1">
      <c r="A113" t="inlineStr">
        <is>
          <t>A 60282-2023</t>
        </is>
      </c>
      <c r="B113" s="1" t="n">
        <v>45258</v>
      </c>
      <c r="C113" s="1" t="n">
        <v>45679</v>
      </c>
      <c r="D113" t="inlineStr">
        <is>
          <t>STOCKHOLMS LÄN</t>
        </is>
      </c>
      <c r="E113" t="inlineStr">
        <is>
          <t>HANINGE</t>
        </is>
      </c>
      <c r="G113" t="n">
        <v>1.9</v>
      </c>
      <c r="H113" t="n">
        <v>0</v>
      </c>
      <c r="I113" t="n">
        <v>0</v>
      </c>
      <c r="J113" t="n">
        <v>0</v>
      </c>
      <c r="K113" t="n">
        <v>0</v>
      </c>
      <c r="L113" t="n">
        <v>0</v>
      </c>
      <c r="M113" t="n">
        <v>0</v>
      </c>
      <c r="N113" t="n">
        <v>0</v>
      </c>
      <c r="O113" t="n">
        <v>0</v>
      </c>
      <c r="P113" t="n">
        <v>0</v>
      </c>
      <c r="Q113" t="n">
        <v>0</v>
      </c>
      <c r="R113" s="2" t="inlineStr"/>
    </row>
    <row r="114" ht="15" customHeight="1">
      <c r="A114" t="inlineStr">
        <is>
          <t>A 64075-2023</t>
        </is>
      </c>
      <c r="B114" s="1" t="n">
        <v>45279</v>
      </c>
      <c r="C114" s="1" t="n">
        <v>45679</v>
      </c>
      <c r="D114" t="inlineStr">
        <is>
          <t>STOCKHOLMS LÄN</t>
        </is>
      </c>
      <c r="E114" t="inlineStr">
        <is>
          <t>HANINGE</t>
        </is>
      </c>
      <c r="G114" t="n">
        <v>2.6</v>
      </c>
      <c r="H114" t="n">
        <v>0</v>
      </c>
      <c r="I114" t="n">
        <v>0</v>
      </c>
      <c r="J114" t="n">
        <v>0</v>
      </c>
      <c r="K114" t="n">
        <v>0</v>
      </c>
      <c r="L114" t="n">
        <v>0</v>
      </c>
      <c r="M114" t="n">
        <v>0</v>
      </c>
      <c r="N114" t="n">
        <v>0</v>
      </c>
      <c r="O114" t="n">
        <v>0</v>
      </c>
      <c r="P114" t="n">
        <v>0</v>
      </c>
      <c r="Q114" t="n">
        <v>0</v>
      </c>
      <c r="R114" s="2" t="inlineStr"/>
    </row>
    <row r="115" ht="15" customHeight="1">
      <c r="A115" t="inlineStr">
        <is>
          <t>A 64568-2023</t>
        </is>
      </c>
      <c r="B115" s="1" t="n">
        <v>45281</v>
      </c>
      <c r="C115" s="1" t="n">
        <v>45679</v>
      </c>
      <c r="D115" t="inlineStr">
        <is>
          <t>STOCKHOLMS LÄN</t>
        </is>
      </c>
      <c r="E115" t="inlineStr">
        <is>
          <t>HANINGE</t>
        </is>
      </c>
      <c r="G115" t="n">
        <v>3.1</v>
      </c>
      <c r="H115" t="n">
        <v>0</v>
      </c>
      <c r="I115" t="n">
        <v>0</v>
      </c>
      <c r="J115" t="n">
        <v>0</v>
      </c>
      <c r="K115" t="n">
        <v>0</v>
      </c>
      <c r="L115" t="n">
        <v>0</v>
      </c>
      <c r="M115" t="n">
        <v>0</v>
      </c>
      <c r="N115" t="n">
        <v>0</v>
      </c>
      <c r="O115" t="n">
        <v>0</v>
      </c>
      <c r="P115" t="n">
        <v>0</v>
      </c>
      <c r="Q115" t="n">
        <v>0</v>
      </c>
      <c r="R115" s="2" t="inlineStr"/>
    </row>
    <row r="116" ht="15" customHeight="1">
      <c r="A116" t="inlineStr">
        <is>
          <t>A 1139-2024</t>
        </is>
      </c>
      <c r="B116" s="1" t="n">
        <v>45302</v>
      </c>
      <c r="C116" s="1" t="n">
        <v>45679</v>
      </c>
      <c r="D116" t="inlineStr">
        <is>
          <t>STOCKHOLMS LÄN</t>
        </is>
      </c>
      <c r="E116" t="inlineStr">
        <is>
          <t>HANINGE</t>
        </is>
      </c>
      <c r="G116" t="n">
        <v>6.6</v>
      </c>
      <c r="H116" t="n">
        <v>0</v>
      </c>
      <c r="I116" t="n">
        <v>0</v>
      </c>
      <c r="J116" t="n">
        <v>0</v>
      </c>
      <c r="K116" t="n">
        <v>0</v>
      </c>
      <c r="L116" t="n">
        <v>0</v>
      </c>
      <c r="M116" t="n">
        <v>0</v>
      </c>
      <c r="N116" t="n">
        <v>0</v>
      </c>
      <c r="O116" t="n">
        <v>0</v>
      </c>
      <c r="P116" t="n">
        <v>0</v>
      </c>
      <c r="Q116" t="n">
        <v>0</v>
      </c>
      <c r="R116" s="2" t="inlineStr"/>
    </row>
    <row r="117" ht="15" customHeight="1">
      <c r="A117" t="inlineStr">
        <is>
          <t>A 1180-2024</t>
        </is>
      </c>
      <c r="B117" s="1" t="n">
        <v>45302</v>
      </c>
      <c r="C117" s="1" t="n">
        <v>45679</v>
      </c>
      <c r="D117" t="inlineStr">
        <is>
          <t>STOCKHOLMS LÄN</t>
        </is>
      </c>
      <c r="E117" t="inlineStr">
        <is>
          <t>HANINGE</t>
        </is>
      </c>
      <c r="G117" t="n">
        <v>2</v>
      </c>
      <c r="H117" t="n">
        <v>0</v>
      </c>
      <c r="I117" t="n">
        <v>0</v>
      </c>
      <c r="J117" t="n">
        <v>0</v>
      </c>
      <c r="K117" t="n">
        <v>0</v>
      </c>
      <c r="L117" t="n">
        <v>0</v>
      </c>
      <c r="M117" t="n">
        <v>0</v>
      </c>
      <c r="N117" t="n">
        <v>0</v>
      </c>
      <c r="O117" t="n">
        <v>0</v>
      </c>
      <c r="P117" t="n">
        <v>0</v>
      </c>
      <c r="Q117" t="n">
        <v>0</v>
      </c>
      <c r="R117" s="2" t="inlineStr"/>
    </row>
    <row r="118" ht="15" customHeight="1">
      <c r="A118" t="inlineStr">
        <is>
          <t>A 1184-2024</t>
        </is>
      </c>
      <c r="B118" s="1" t="n">
        <v>45302</v>
      </c>
      <c r="C118" s="1" t="n">
        <v>45679</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1187-2024</t>
        </is>
      </c>
      <c r="B119" s="1" t="n">
        <v>45302</v>
      </c>
      <c r="C119" s="1" t="n">
        <v>45679</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1141-2024</t>
        </is>
      </c>
      <c r="B120" s="1" t="n">
        <v>45302</v>
      </c>
      <c r="C120" s="1" t="n">
        <v>45679</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1181-2024</t>
        </is>
      </c>
      <c r="B121" s="1" t="n">
        <v>45302</v>
      </c>
      <c r="C121" s="1" t="n">
        <v>45679</v>
      </c>
      <c r="D121" t="inlineStr">
        <is>
          <t>STOCKHOLMS LÄN</t>
        </is>
      </c>
      <c r="E121" t="inlineStr">
        <is>
          <t>HANINGE</t>
        </is>
      </c>
      <c r="G121" t="n">
        <v>1.5</v>
      </c>
      <c r="H121" t="n">
        <v>0</v>
      </c>
      <c r="I121" t="n">
        <v>0</v>
      </c>
      <c r="J121" t="n">
        <v>0</v>
      </c>
      <c r="K121" t="n">
        <v>0</v>
      </c>
      <c r="L121" t="n">
        <v>0</v>
      </c>
      <c r="M121" t="n">
        <v>0</v>
      </c>
      <c r="N121" t="n">
        <v>0</v>
      </c>
      <c r="O121" t="n">
        <v>0</v>
      </c>
      <c r="P121" t="n">
        <v>0</v>
      </c>
      <c r="Q121" t="n">
        <v>0</v>
      </c>
      <c r="R121" s="2" t="inlineStr"/>
    </row>
    <row r="122" ht="15" customHeight="1">
      <c r="A122" t="inlineStr">
        <is>
          <t>A 1189-2024</t>
        </is>
      </c>
      <c r="B122" s="1" t="n">
        <v>45302</v>
      </c>
      <c r="C122" s="1" t="n">
        <v>45679</v>
      </c>
      <c r="D122" t="inlineStr">
        <is>
          <t>STOCKHOLMS LÄN</t>
        </is>
      </c>
      <c r="E122" t="inlineStr">
        <is>
          <t>HANINGE</t>
        </is>
      </c>
      <c r="G122" t="n">
        <v>2.1</v>
      </c>
      <c r="H122" t="n">
        <v>0</v>
      </c>
      <c r="I122" t="n">
        <v>0</v>
      </c>
      <c r="J122" t="n">
        <v>0</v>
      </c>
      <c r="K122" t="n">
        <v>0</v>
      </c>
      <c r="L122" t="n">
        <v>0</v>
      </c>
      <c r="M122" t="n">
        <v>0</v>
      </c>
      <c r="N122" t="n">
        <v>0</v>
      </c>
      <c r="O122" t="n">
        <v>0</v>
      </c>
      <c r="P122" t="n">
        <v>0</v>
      </c>
      <c r="Q122" t="n">
        <v>0</v>
      </c>
      <c r="R122" s="2" t="inlineStr"/>
    </row>
    <row r="123" ht="15" customHeight="1">
      <c r="A123" t="inlineStr">
        <is>
          <t>A 4297-2024</t>
        </is>
      </c>
      <c r="B123" s="1" t="n">
        <v>45324</v>
      </c>
      <c r="C123" s="1" t="n">
        <v>45679</v>
      </c>
      <c r="D123" t="inlineStr">
        <is>
          <t>STOCKHOLMS LÄN</t>
        </is>
      </c>
      <c r="E123" t="inlineStr">
        <is>
          <t>HANINGE</t>
        </is>
      </c>
      <c r="F123" t="inlineStr">
        <is>
          <t>Kommuner</t>
        </is>
      </c>
      <c r="G123" t="n">
        <v>0.4</v>
      </c>
      <c r="H123" t="n">
        <v>0</v>
      </c>
      <c r="I123" t="n">
        <v>0</v>
      </c>
      <c r="J123" t="n">
        <v>0</v>
      </c>
      <c r="K123" t="n">
        <v>0</v>
      </c>
      <c r="L123" t="n">
        <v>0</v>
      </c>
      <c r="M123" t="n">
        <v>0</v>
      </c>
      <c r="N123" t="n">
        <v>0</v>
      </c>
      <c r="O123" t="n">
        <v>0</v>
      </c>
      <c r="P123" t="n">
        <v>0</v>
      </c>
      <c r="Q123" t="n">
        <v>0</v>
      </c>
      <c r="R123" s="2" t="inlineStr"/>
    </row>
    <row r="124" ht="15" customHeight="1">
      <c r="A124" t="inlineStr">
        <is>
          <t>A 5474-2024</t>
        </is>
      </c>
      <c r="B124" s="1" t="n">
        <v>45333</v>
      </c>
      <c r="C124" s="1" t="n">
        <v>45679</v>
      </c>
      <c r="D124" t="inlineStr">
        <is>
          <t>STOCKHOLMS LÄN</t>
        </is>
      </c>
      <c r="E124" t="inlineStr">
        <is>
          <t>HANINGE</t>
        </is>
      </c>
      <c r="F124" t="inlineStr">
        <is>
          <t>Kommuner</t>
        </is>
      </c>
      <c r="G124" t="n">
        <v>0.9</v>
      </c>
      <c r="H124" t="n">
        <v>0</v>
      </c>
      <c r="I124" t="n">
        <v>0</v>
      </c>
      <c r="J124" t="n">
        <v>0</v>
      </c>
      <c r="K124" t="n">
        <v>0</v>
      </c>
      <c r="L124" t="n">
        <v>0</v>
      </c>
      <c r="M124" t="n">
        <v>0</v>
      </c>
      <c r="N124" t="n">
        <v>0</v>
      </c>
      <c r="O124" t="n">
        <v>0</v>
      </c>
      <c r="P124" t="n">
        <v>0</v>
      </c>
      <c r="Q124" t="n">
        <v>0</v>
      </c>
      <c r="R124" s="2" t="inlineStr"/>
    </row>
    <row r="125" ht="15" customHeight="1">
      <c r="A125" t="inlineStr">
        <is>
          <t>A 8153-2024</t>
        </is>
      </c>
      <c r="B125" s="1" t="n">
        <v>45351</v>
      </c>
      <c r="C125" s="1" t="n">
        <v>45679</v>
      </c>
      <c r="D125" t="inlineStr">
        <is>
          <t>STOCKHOLMS LÄN</t>
        </is>
      </c>
      <c r="E125" t="inlineStr">
        <is>
          <t>HANINGE</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8163-2024</t>
        </is>
      </c>
      <c r="B126" s="1" t="n">
        <v>45351</v>
      </c>
      <c r="C126" s="1" t="n">
        <v>45679</v>
      </c>
      <c r="D126" t="inlineStr">
        <is>
          <t>STOCKHOLMS LÄN</t>
        </is>
      </c>
      <c r="E126" t="inlineStr">
        <is>
          <t>HANINGE</t>
        </is>
      </c>
      <c r="F126" t="inlineStr">
        <is>
          <t>Kommuner</t>
        </is>
      </c>
      <c r="G126" t="n">
        <v>3.8</v>
      </c>
      <c r="H126" t="n">
        <v>0</v>
      </c>
      <c r="I126" t="n">
        <v>0</v>
      </c>
      <c r="J126" t="n">
        <v>0</v>
      </c>
      <c r="K126" t="n">
        <v>0</v>
      </c>
      <c r="L126" t="n">
        <v>0</v>
      </c>
      <c r="M126" t="n">
        <v>0</v>
      </c>
      <c r="N126" t="n">
        <v>0</v>
      </c>
      <c r="O126" t="n">
        <v>0</v>
      </c>
      <c r="P126" t="n">
        <v>0</v>
      </c>
      <c r="Q126" t="n">
        <v>0</v>
      </c>
      <c r="R126" s="2" t="inlineStr"/>
    </row>
    <row r="127" ht="15" customHeight="1">
      <c r="A127" t="inlineStr">
        <is>
          <t>A 8078-2024</t>
        </is>
      </c>
      <c r="B127" s="1" t="n">
        <v>45351</v>
      </c>
      <c r="C127" s="1" t="n">
        <v>45679</v>
      </c>
      <c r="D127" t="inlineStr">
        <is>
          <t>STOCKHOLMS LÄN</t>
        </is>
      </c>
      <c r="E127" t="inlineStr">
        <is>
          <t>HANINGE</t>
        </is>
      </c>
      <c r="F127" t="inlineStr">
        <is>
          <t>Kommuner</t>
        </is>
      </c>
      <c r="G127" t="n">
        <v>1.4</v>
      </c>
      <c r="H127" t="n">
        <v>0</v>
      </c>
      <c r="I127" t="n">
        <v>0</v>
      </c>
      <c r="J127" t="n">
        <v>0</v>
      </c>
      <c r="K127" t="n">
        <v>0</v>
      </c>
      <c r="L127" t="n">
        <v>0</v>
      </c>
      <c r="M127" t="n">
        <v>0</v>
      </c>
      <c r="N127" t="n">
        <v>0</v>
      </c>
      <c r="O127" t="n">
        <v>0</v>
      </c>
      <c r="P127" t="n">
        <v>0</v>
      </c>
      <c r="Q127" t="n">
        <v>0</v>
      </c>
      <c r="R127" s="2" t="inlineStr"/>
    </row>
    <row r="128" ht="15" customHeight="1">
      <c r="A128" t="inlineStr">
        <is>
          <t>A 9946-2024</t>
        </is>
      </c>
      <c r="B128" s="1" t="n">
        <v>45363</v>
      </c>
      <c r="C128" s="1" t="n">
        <v>45679</v>
      </c>
      <c r="D128" t="inlineStr">
        <is>
          <t>STOCKHOLMS LÄN</t>
        </is>
      </c>
      <c r="E128" t="inlineStr">
        <is>
          <t>HANINGE</t>
        </is>
      </c>
      <c r="G128" t="n">
        <v>3.8</v>
      </c>
      <c r="H128" t="n">
        <v>0</v>
      </c>
      <c r="I128" t="n">
        <v>0</v>
      </c>
      <c r="J128" t="n">
        <v>0</v>
      </c>
      <c r="K128" t="n">
        <v>0</v>
      </c>
      <c r="L128" t="n">
        <v>0</v>
      </c>
      <c r="M128" t="n">
        <v>0</v>
      </c>
      <c r="N128" t="n">
        <v>0</v>
      </c>
      <c r="O128" t="n">
        <v>0</v>
      </c>
      <c r="P128" t="n">
        <v>0</v>
      </c>
      <c r="Q128" t="n">
        <v>0</v>
      </c>
      <c r="R128" s="2" t="inlineStr"/>
    </row>
    <row r="129" ht="15" customHeight="1">
      <c r="A129" t="inlineStr">
        <is>
          <t>A 17765-2024</t>
        </is>
      </c>
      <c r="B129" s="1" t="n">
        <v>45418</v>
      </c>
      <c r="C129" s="1" t="n">
        <v>45679</v>
      </c>
      <c r="D129" t="inlineStr">
        <is>
          <t>STOCKHOLMS LÄN</t>
        </is>
      </c>
      <c r="E129" t="inlineStr">
        <is>
          <t>HANINGE</t>
        </is>
      </c>
      <c r="G129" t="n">
        <v>1.3</v>
      </c>
      <c r="H129" t="n">
        <v>0</v>
      </c>
      <c r="I129" t="n">
        <v>0</v>
      </c>
      <c r="J129" t="n">
        <v>0</v>
      </c>
      <c r="K129" t="n">
        <v>0</v>
      </c>
      <c r="L129" t="n">
        <v>0</v>
      </c>
      <c r="M129" t="n">
        <v>0</v>
      </c>
      <c r="N129" t="n">
        <v>0</v>
      </c>
      <c r="O129" t="n">
        <v>0</v>
      </c>
      <c r="P129" t="n">
        <v>0</v>
      </c>
      <c r="Q129" t="n">
        <v>0</v>
      </c>
      <c r="R129" s="2" t="inlineStr"/>
    </row>
    <row r="130" ht="15" customHeight="1">
      <c r="A130" t="inlineStr">
        <is>
          <t>A 18507-2024</t>
        </is>
      </c>
      <c r="B130" s="1" t="n">
        <v>45425</v>
      </c>
      <c r="C130" s="1" t="n">
        <v>45679</v>
      </c>
      <c r="D130" t="inlineStr">
        <is>
          <t>STOCKHOLMS LÄN</t>
        </is>
      </c>
      <c r="E130" t="inlineStr">
        <is>
          <t>HANINGE</t>
        </is>
      </c>
      <c r="F130" t="inlineStr">
        <is>
          <t>Kommuner</t>
        </is>
      </c>
      <c r="G130" t="n">
        <v>2.4</v>
      </c>
      <c r="H130" t="n">
        <v>0</v>
      </c>
      <c r="I130" t="n">
        <v>0</v>
      </c>
      <c r="J130" t="n">
        <v>0</v>
      </c>
      <c r="K130" t="n">
        <v>0</v>
      </c>
      <c r="L130" t="n">
        <v>0</v>
      </c>
      <c r="M130" t="n">
        <v>0</v>
      </c>
      <c r="N130" t="n">
        <v>0</v>
      </c>
      <c r="O130" t="n">
        <v>0</v>
      </c>
      <c r="P130" t="n">
        <v>0</v>
      </c>
      <c r="Q130" t="n">
        <v>0</v>
      </c>
      <c r="R130" s="2" t="inlineStr"/>
    </row>
    <row r="131" ht="15" customHeight="1">
      <c r="A131" t="inlineStr">
        <is>
          <t>A 18512-2024</t>
        </is>
      </c>
      <c r="B131" s="1" t="n">
        <v>45425</v>
      </c>
      <c r="C131" s="1" t="n">
        <v>45679</v>
      </c>
      <c r="D131" t="inlineStr">
        <is>
          <t>STOCKHOLMS LÄN</t>
        </is>
      </c>
      <c r="E131" t="inlineStr">
        <is>
          <t>HANINGE</t>
        </is>
      </c>
      <c r="F131" t="inlineStr">
        <is>
          <t>Kommuner</t>
        </is>
      </c>
      <c r="G131" t="n">
        <v>0.7</v>
      </c>
      <c r="H131" t="n">
        <v>0</v>
      </c>
      <c r="I131" t="n">
        <v>0</v>
      </c>
      <c r="J131" t="n">
        <v>0</v>
      </c>
      <c r="K131" t="n">
        <v>0</v>
      </c>
      <c r="L131" t="n">
        <v>0</v>
      </c>
      <c r="M131" t="n">
        <v>0</v>
      </c>
      <c r="N131" t="n">
        <v>0</v>
      </c>
      <c r="O131" t="n">
        <v>0</v>
      </c>
      <c r="P131" t="n">
        <v>0</v>
      </c>
      <c r="Q131" t="n">
        <v>0</v>
      </c>
      <c r="R131" s="2" t="inlineStr"/>
    </row>
    <row r="132" ht="15" customHeight="1">
      <c r="A132" t="inlineStr">
        <is>
          <t>A 18528-2024</t>
        </is>
      </c>
      <c r="B132" s="1" t="n">
        <v>45425</v>
      </c>
      <c r="C132" s="1" t="n">
        <v>45679</v>
      </c>
      <c r="D132" t="inlineStr">
        <is>
          <t>STOCKHOLMS LÄN</t>
        </is>
      </c>
      <c r="E132" t="inlineStr">
        <is>
          <t>HANINGE</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18548-2024</t>
        </is>
      </c>
      <c r="B133" s="1" t="n">
        <v>45425</v>
      </c>
      <c r="C133" s="1" t="n">
        <v>45679</v>
      </c>
      <c r="D133" t="inlineStr">
        <is>
          <t>STOCKHOLMS LÄN</t>
        </is>
      </c>
      <c r="E133" t="inlineStr">
        <is>
          <t>HANINGE</t>
        </is>
      </c>
      <c r="F133" t="inlineStr">
        <is>
          <t>Kommuner</t>
        </is>
      </c>
      <c r="G133" t="n">
        <v>7.3</v>
      </c>
      <c r="H133" t="n">
        <v>0</v>
      </c>
      <c r="I133" t="n">
        <v>0</v>
      </c>
      <c r="J133" t="n">
        <v>0</v>
      </c>
      <c r="K133" t="n">
        <v>0</v>
      </c>
      <c r="L133" t="n">
        <v>0</v>
      </c>
      <c r="M133" t="n">
        <v>0</v>
      </c>
      <c r="N133" t="n">
        <v>0</v>
      </c>
      <c r="O133" t="n">
        <v>0</v>
      </c>
      <c r="P133" t="n">
        <v>0</v>
      </c>
      <c r="Q133" t="n">
        <v>0</v>
      </c>
      <c r="R133" s="2" t="inlineStr"/>
    </row>
    <row r="134" ht="15" customHeight="1">
      <c r="A134" t="inlineStr">
        <is>
          <t>A 20839-2024</t>
        </is>
      </c>
      <c r="B134" s="1" t="n">
        <v>45439</v>
      </c>
      <c r="C134" s="1" t="n">
        <v>45679</v>
      </c>
      <c r="D134" t="inlineStr">
        <is>
          <t>STOCKHOLMS LÄN</t>
        </is>
      </c>
      <c r="E134" t="inlineStr">
        <is>
          <t>HANINGE</t>
        </is>
      </c>
      <c r="G134" t="n">
        <v>8.4</v>
      </c>
      <c r="H134" t="n">
        <v>0</v>
      </c>
      <c r="I134" t="n">
        <v>0</v>
      </c>
      <c r="J134" t="n">
        <v>0</v>
      </c>
      <c r="K134" t="n">
        <v>0</v>
      </c>
      <c r="L134" t="n">
        <v>0</v>
      </c>
      <c r="M134" t="n">
        <v>0</v>
      </c>
      <c r="N134" t="n">
        <v>0</v>
      </c>
      <c r="O134" t="n">
        <v>0</v>
      </c>
      <c r="P134" t="n">
        <v>0</v>
      </c>
      <c r="Q134" t="n">
        <v>0</v>
      </c>
      <c r="R134" s="2" t="inlineStr"/>
    </row>
    <row r="135" ht="15" customHeight="1">
      <c r="A135" t="inlineStr">
        <is>
          <t>A 20837-2024</t>
        </is>
      </c>
      <c r="B135" s="1" t="n">
        <v>45439</v>
      </c>
      <c r="C135" s="1" t="n">
        <v>45679</v>
      </c>
      <c r="D135" t="inlineStr">
        <is>
          <t>STOCKHOLMS LÄN</t>
        </is>
      </c>
      <c r="E135" t="inlineStr">
        <is>
          <t>HANINGE</t>
        </is>
      </c>
      <c r="G135" t="n">
        <v>2.9</v>
      </c>
      <c r="H135" t="n">
        <v>0</v>
      </c>
      <c r="I135" t="n">
        <v>0</v>
      </c>
      <c r="J135" t="n">
        <v>0</v>
      </c>
      <c r="K135" t="n">
        <v>0</v>
      </c>
      <c r="L135" t="n">
        <v>0</v>
      </c>
      <c r="M135" t="n">
        <v>0</v>
      </c>
      <c r="N135" t="n">
        <v>0</v>
      </c>
      <c r="O135" t="n">
        <v>0</v>
      </c>
      <c r="P135" t="n">
        <v>0</v>
      </c>
      <c r="Q135" t="n">
        <v>0</v>
      </c>
      <c r="R135" s="2" t="inlineStr"/>
    </row>
    <row r="136" ht="15" customHeight="1">
      <c r="A136" t="inlineStr">
        <is>
          <t>A 20832-2024</t>
        </is>
      </c>
      <c r="B136" s="1" t="n">
        <v>45439</v>
      </c>
      <c r="C136" s="1" t="n">
        <v>45679</v>
      </c>
      <c r="D136" t="inlineStr">
        <is>
          <t>STOCKHOLMS LÄN</t>
        </is>
      </c>
      <c r="E136" t="inlineStr">
        <is>
          <t>HANINGE</t>
        </is>
      </c>
      <c r="G136" t="n">
        <v>2.6</v>
      </c>
      <c r="H136" t="n">
        <v>0</v>
      </c>
      <c r="I136" t="n">
        <v>0</v>
      </c>
      <c r="J136" t="n">
        <v>0</v>
      </c>
      <c r="K136" t="n">
        <v>0</v>
      </c>
      <c r="L136" t="n">
        <v>0</v>
      </c>
      <c r="M136" t="n">
        <v>0</v>
      </c>
      <c r="N136" t="n">
        <v>0</v>
      </c>
      <c r="O136" t="n">
        <v>0</v>
      </c>
      <c r="P136" t="n">
        <v>0</v>
      </c>
      <c r="Q136" t="n">
        <v>0</v>
      </c>
      <c r="R136" s="2" t="inlineStr"/>
    </row>
    <row r="137" ht="15" customHeight="1">
      <c r="A137" t="inlineStr">
        <is>
          <t>A 23666-2024</t>
        </is>
      </c>
      <c r="B137" s="1" t="n">
        <v>45454</v>
      </c>
      <c r="C137" s="1" t="n">
        <v>45679</v>
      </c>
      <c r="D137" t="inlineStr">
        <is>
          <t>STOCKHOLMS LÄN</t>
        </is>
      </c>
      <c r="E137" t="inlineStr">
        <is>
          <t>HANINGE</t>
        </is>
      </c>
      <c r="G137" t="n">
        <v>0.8</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45679</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ht="15" customHeight="1">
      <c r="A139" t="inlineStr">
        <is>
          <t>A 52836-2024</t>
        </is>
      </c>
      <c r="B139" s="1" t="n">
        <v>45610</v>
      </c>
      <c r="C139" s="1" t="n">
        <v>45679</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row r="140" ht="15" customHeight="1">
      <c r="A140" t="inlineStr">
        <is>
          <t>A 52770-2024</t>
        </is>
      </c>
      <c r="B140" s="1" t="n">
        <v>45610</v>
      </c>
      <c r="C140" s="1" t="n">
        <v>45679</v>
      </c>
      <c r="D140" t="inlineStr">
        <is>
          <t>STOCKHOLMS LÄN</t>
        </is>
      </c>
      <c r="E140" t="inlineStr">
        <is>
          <t>HANINGE</t>
        </is>
      </c>
      <c r="G140" t="n">
        <v>2.3</v>
      </c>
      <c r="H140" t="n">
        <v>0</v>
      </c>
      <c r="I140" t="n">
        <v>0</v>
      </c>
      <c r="J140" t="n">
        <v>0</v>
      </c>
      <c r="K140" t="n">
        <v>0</v>
      </c>
      <c r="L140" t="n">
        <v>0</v>
      </c>
      <c r="M140" t="n">
        <v>0</v>
      </c>
      <c r="N140" t="n">
        <v>0</v>
      </c>
      <c r="O140" t="n">
        <v>0</v>
      </c>
      <c r="P140" t="n">
        <v>0</v>
      </c>
      <c r="Q140" t="n">
        <v>0</v>
      </c>
      <c r="R140" s="2" t="inlineStr"/>
    </row>
    <row r="141" ht="15" customHeight="1">
      <c r="A141" t="inlineStr">
        <is>
          <t>A 2238-2025</t>
        </is>
      </c>
      <c r="B141" s="1" t="n">
        <v>45672</v>
      </c>
      <c r="C141" s="1" t="n">
        <v>45679</v>
      </c>
      <c r="D141" t="inlineStr">
        <is>
          <t>STOCKHOLMS LÄN</t>
        </is>
      </c>
      <c r="E141" t="inlineStr">
        <is>
          <t>HANINGE</t>
        </is>
      </c>
      <c r="G141" t="n">
        <v>1</v>
      </c>
      <c r="H141" t="n">
        <v>0</v>
      </c>
      <c r="I141" t="n">
        <v>0</v>
      </c>
      <c r="J141" t="n">
        <v>0</v>
      </c>
      <c r="K141" t="n">
        <v>0</v>
      </c>
      <c r="L141" t="n">
        <v>0</v>
      </c>
      <c r="M141" t="n">
        <v>0</v>
      </c>
      <c r="N141" t="n">
        <v>0</v>
      </c>
      <c r="O141" t="n">
        <v>0</v>
      </c>
      <c r="P141" t="n">
        <v>0</v>
      </c>
      <c r="Q141" t="n">
        <v>0</v>
      </c>
      <c r="R141" s="2" t="inlineStr"/>
    </row>
    <row r="142">
      <c r="A142" t="inlineStr">
        <is>
          <t>A 2215-2025</t>
        </is>
      </c>
      <c r="B142" s="1" t="n">
        <v>45672</v>
      </c>
      <c r="C142" s="1" t="n">
        <v>45679</v>
      </c>
      <c r="D142" t="inlineStr">
        <is>
          <t>STOCKHOLMS LÄN</t>
        </is>
      </c>
      <c r="E142" t="inlineStr">
        <is>
          <t>HANINGE</t>
        </is>
      </c>
      <c r="G142" t="n">
        <v>2.3</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2025-01-22T16:13:46Z</dcterms:created>
  <dcterms:modified xmlns:dcterms="http://purl.org/dc/terms/" xmlns:xsi="http://www.w3.org/2001/XMLSchema-instance" xsi:type="dcterms:W3CDTF">2025-01-22T16:13:46Z</dcterms:modified>
</cp:coreProperties>
</file>