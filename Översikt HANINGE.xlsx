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46261</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46261</v>
      </c>
      <c r="F4" t="inlineStr">
        <is>
          <t>STOCKHOLMS LÄN</t>
        </is>
      </c>
      <c r="G4" t="inlineStr">
        <is>
          <t>HANINGE</t>
        </is>
      </c>
      <c r="I4" t="n">
        <v>19.9</v>
      </c>
      <c r="J4" t="n">
        <v>14</v>
      </c>
      <c r="K4" t="n">
        <v>16</v>
      </c>
      <c r="L4" t="n">
        <v>14</v>
      </c>
      <c r="M4" t="n">
        <v>7</v>
      </c>
      <c r="N4" t="n">
        <v>0</v>
      </c>
      <c r="O4" t="n">
        <v>0</v>
      </c>
      <c r="P4" t="n">
        <v>0</v>
      </c>
      <c r="Q4" t="n">
        <v>21</v>
      </c>
      <c r="R4" t="n">
        <v>7</v>
      </c>
      <c r="S4" t="n">
        <v>46</v>
      </c>
      <c r="T4" t="n">
        <v>151</v>
      </c>
      <c r="U4" t="n">
        <v>16</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46261</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46261</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46261</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46261</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46261</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46261</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46261</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46261</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46261</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46261</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46261</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46261</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46261</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46261</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46261</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46261</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46261</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46261</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46261</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46261</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46261</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46261</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46261</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32479-2026</t>
        </is>
      </c>
      <c r="B29" t="inlineStr">
        <is>
          <t>avverkningsanmälan</t>
        </is>
      </c>
      <c r="C29" t="inlineStr">
        <is>
          <t>Föryngringsavverkning</t>
        </is>
      </c>
      <c r="D29" s="1" t="n">
        <v>46239</v>
      </c>
      <c r="E29" s="1" t="n">
        <v>46261</v>
      </c>
      <c r="F29" t="inlineStr">
        <is>
          <t>STOCKHOLMS LÄN</t>
        </is>
      </c>
      <c r="G29" t="inlineStr">
        <is>
          <t>HANINGE</t>
        </is>
      </c>
      <c r="I29" t="n">
        <v>6.9</v>
      </c>
      <c r="J29" t="n">
        <v>0</v>
      </c>
      <c r="K29" t="n">
        <v>1</v>
      </c>
      <c r="L29" t="n">
        <v>0</v>
      </c>
      <c r="M29" t="n">
        <v>0</v>
      </c>
      <c r="N29" t="n">
        <v>0</v>
      </c>
      <c r="O29" t="n">
        <v>0</v>
      </c>
      <c r="P29" t="n">
        <v>0</v>
      </c>
      <c r="Q29" t="n">
        <v>0</v>
      </c>
      <c r="R29" t="n">
        <v>0</v>
      </c>
      <c r="S29" t="n">
        <v>1</v>
      </c>
      <c r="T29" t="n">
        <v>1</v>
      </c>
      <c r="U29" t="n">
        <v>0</v>
      </c>
      <c r="V29" s="2" t="inlineStr">
        <is>
          <t>Kambräken</t>
        </is>
      </c>
      <c r="W29">
        <f>HYPERLINK("https://klasma.github.io/Logging_0136/artfynd/A 32479-2026 artfynd.xlsx", "A 32479-2026")</f>
        <v/>
      </c>
      <c r="X29">
        <f>HYPERLINK("https://klasma.github.io/Logging_0136/kartor/A 32479-2026 karta.png", "A 32479-2026")</f>
        <v/>
      </c>
      <c r="Y29">
        <f>HYPERLINK("https://klasma.github.io/Logging_0136/kartor_geotiff/A 32479-2026 georefererad karta.tif", "A 32479-2026")</f>
        <v/>
      </c>
      <c r="AA29">
        <f>HYPERLINK("https://klasma.github.io/Logging_0136/klagomål/A 32479-2026 FSC-klagomål.docx", "A 32479-2026")</f>
        <v/>
      </c>
      <c r="AB29">
        <f>HYPERLINK("https://klasma.github.io/Logging_0136/klagomålsmail/A 32479-2026 FSC-klagomål mail.docx", "A 32479-2026")</f>
        <v/>
      </c>
      <c r="AC29">
        <f>HYPERLINK("https://klasma.github.io/Logging_0136/tillsyn/A 32479-2026 tillsynsbegäran.docx", "A 32479-2026")</f>
        <v/>
      </c>
      <c r="AD29">
        <f>HYPERLINK("https://klasma.github.io/Logging_0136/tillsynsmail/A 32479-2026 tillsynsbegäran mail.docx", "A 32479-2026")</f>
        <v/>
      </c>
    </row>
    <row r="30" ht="15" customHeight="1">
      <c r="A30" t="inlineStr">
        <is>
          <t>A 34823-2022</t>
        </is>
      </c>
      <c r="B30" t="inlineStr">
        <is>
          <t>avverkningsanmälan</t>
        </is>
      </c>
      <c r="C30" t="inlineStr">
        <is>
          <t>Föryngringsavverkning</t>
        </is>
      </c>
      <c r="D30" s="1" t="n">
        <v>44796</v>
      </c>
      <c r="E30" s="1" t="n">
        <v>46261</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46261</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46261</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46261</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46261</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46261</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46261</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46261</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46261</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46261</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41266-2022</t>
        </is>
      </c>
      <c r="B40" t="inlineStr">
        <is>
          <t>avverkningsanmälan</t>
        </is>
      </c>
      <c r="C40" t="inlineStr">
        <is>
          <t>Föryngringsavverkning</t>
        </is>
      </c>
      <c r="D40" s="1" t="n">
        <v>44825</v>
      </c>
      <c r="E40" s="1" t="n">
        <v>46261</v>
      </c>
      <c r="F40" t="inlineStr">
        <is>
          <t>STOCKHOLMS LÄN</t>
        </is>
      </c>
      <c r="G40" t="inlineStr">
        <is>
          <t>HANINGE</t>
        </is>
      </c>
      <c r="H40" t="inlineStr">
        <is>
          <t>Övriga statliga verk och myndigheter</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46261</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46261</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46261</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3156-2025</t>
        </is>
      </c>
      <c r="B44" t="inlineStr">
        <is>
          <t>avverkningsanmälan</t>
        </is>
      </c>
      <c r="C44" t="inlineStr">
        <is>
          <t>Föryngringsavverkning</t>
        </is>
      </c>
      <c r="D44" s="1" t="n">
        <v>45679</v>
      </c>
      <c r="E44" s="1" t="n">
        <v>46261</v>
      </c>
      <c r="F44" t="inlineStr">
        <is>
          <t>STOCKHOLMS LÄN</t>
        </is>
      </c>
      <c r="G44" t="inlineStr">
        <is>
          <t>HANINGE</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18491-2025</t>
        </is>
      </c>
      <c r="B45" t="inlineStr">
        <is>
          <t>avverkningsanmälan</t>
        </is>
      </c>
      <c r="C45" t="inlineStr">
        <is>
          <t>Föryngringsavverkning</t>
        </is>
      </c>
      <c r="D45" s="1" t="n">
        <v>45763</v>
      </c>
      <c r="E45" s="1" t="n">
        <v>46261</v>
      </c>
      <c r="F45" t="inlineStr">
        <is>
          <t>STOCKHOLMS LÄN</t>
        </is>
      </c>
      <c r="G45" t="inlineStr">
        <is>
          <t>HANINGE</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24193-2025</t>
        </is>
      </c>
      <c r="B46" t="inlineStr">
        <is>
          <t>avverkningsanmälan</t>
        </is>
      </c>
      <c r="C46" t="inlineStr">
        <is>
          <t>Föryngringsavverkning</t>
        </is>
      </c>
      <c r="D46" s="1" t="n">
        <v>45796</v>
      </c>
      <c r="E46" s="1" t="n">
        <v>46261</v>
      </c>
      <c r="F46" t="inlineStr">
        <is>
          <t>STOCKHOLMS LÄN</t>
        </is>
      </c>
      <c r="G46" t="inlineStr">
        <is>
          <t>HANINGE</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64075-2023</t>
        </is>
      </c>
      <c r="B47" t="inlineStr">
        <is>
          <t>avverkningsanmälan</t>
        </is>
      </c>
      <c r="C47" t="inlineStr">
        <is>
          <t>Föryngringsavverkning</t>
        </is>
      </c>
      <c r="D47" s="1" t="n">
        <v>45279</v>
      </c>
      <c r="E47" s="1" t="n">
        <v>46261</v>
      </c>
      <c r="F47" t="inlineStr">
        <is>
          <t>STOCKHOLMS LÄN</t>
        </is>
      </c>
      <c r="G47" t="inlineStr">
        <is>
          <t>HANINGE</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46261</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68896-2021</t>
        </is>
      </c>
      <c r="B49" t="inlineStr">
        <is>
          <t>avverkningsanmälan</t>
        </is>
      </c>
      <c r="C49" t="inlineStr">
        <is>
          <t>Föryngringsavverkning</t>
        </is>
      </c>
      <c r="D49" s="1" t="n">
        <v>44526</v>
      </c>
      <c r="E49" s="1" t="n">
        <v>46261</v>
      </c>
      <c r="F49" t="inlineStr">
        <is>
          <t>STOCKHOLMS LÄN</t>
        </is>
      </c>
      <c r="G49" t="inlineStr">
        <is>
          <t>HANINGE</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12787-2026</t>
        </is>
      </c>
      <c r="B50" t="inlineStr">
        <is>
          <t>avverkningsanmälan</t>
        </is>
      </c>
      <c r="C50" t="inlineStr">
        <is>
          <t>Föryngringsavverkning</t>
        </is>
      </c>
      <c r="D50" s="1" t="n">
        <v>46091</v>
      </c>
      <c r="E50" s="1" t="n">
        <v>46261</v>
      </c>
      <c r="F50" t="inlineStr">
        <is>
          <t>STOCKHOLMS LÄN</t>
        </is>
      </c>
      <c r="G50" t="inlineStr">
        <is>
          <t>HANINGE</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14264-2025</t>
        </is>
      </c>
      <c r="B51" t="inlineStr">
        <is>
          <t>avverkningsanmälan</t>
        </is>
      </c>
      <c r="C51" t="inlineStr">
        <is>
          <t>Föryngringsavverkning</t>
        </is>
      </c>
      <c r="D51" s="1" t="n">
        <v>45740</v>
      </c>
      <c r="E51" s="1" t="n">
        <v>46261</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48606-2025</t>
        </is>
      </c>
      <c r="B52" t="inlineStr">
        <is>
          <t>avverkningsanmälan</t>
        </is>
      </c>
      <c r="C52" t="inlineStr">
        <is>
          <t>Föryngringsavverkning</t>
        </is>
      </c>
      <c r="D52" s="1" t="n">
        <v>45936</v>
      </c>
      <c r="E52" s="1" t="n">
        <v>46261</v>
      </c>
      <c r="F52" t="inlineStr">
        <is>
          <t>STOCKHOLMS LÄN</t>
        </is>
      </c>
      <c r="G52" t="inlineStr">
        <is>
          <t>HANINGE</t>
        </is>
      </c>
      <c r="I52" t="n">
        <v>6.9</v>
      </c>
      <c r="J52" t="n">
        <v>0</v>
      </c>
      <c r="K52" t="n">
        <v>0</v>
      </c>
      <c r="L52" t="n">
        <v>0</v>
      </c>
      <c r="M52" t="n">
        <v>0</v>
      </c>
      <c r="N52" t="n">
        <v>0</v>
      </c>
      <c r="O52" t="n">
        <v>0</v>
      </c>
      <c r="P52" t="n">
        <v>0</v>
      </c>
      <c r="Q52" t="n">
        <v>0</v>
      </c>
      <c r="R52" t="n">
        <v>0</v>
      </c>
      <c r="S52" t="n">
        <v>0</v>
      </c>
      <c r="T52" t="n">
        <v>0</v>
      </c>
      <c r="U52" t="n">
        <v>0</v>
      </c>
      <c r="V52" s="2" t="inlineStr"/>
    </row>
    <row r="53" ht="15" customHeight="1">
      <c r="A53" t="inlineStr">
        <is>
          <t>A 59569-2025</t>
        </is>
      </c>
      <c r="B53" t="inlineStr">
        <is>
          <t>avverkningsanmälan</t>
        </is>
      </c>
      <c r="C53" t="inlineStr">
        <is>
          <t>Föryngringsavverkning</t>
        </is>
      </c>
      <c r="D53" s="1" t="n">
        <v>45991</v>
      </c>
      <c r="E53" s="1" t="n">
        <v>46261</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32948-2025</t>
        </is>
      </c>
      <c r="B54" t="inlineStr">
        <is>
          <t>avverkningsanmälan</t>
        </is>
      </c>
      <c r="C54" t="inlineStr">
        <is>
          <t>Föryngringsavverkning</t>
        </is>
      </c>
      <c r="D54" s="1" t="n">
        <v>45839</v>
      </c>
      <c r="E54" s="1" t="n">
        <v>46261</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46261</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58599-2023</t>
        </is>
      </c>
      <c r="B56" t="inlineStr">
        <is>
          <t>avverkningsanmälan</t>
        </is>
      </c>
      <c r="C56" t="inlineStr">
        <is>
          <t>Föryngringsavverkning</t>
        </is>
      </c>
      <c r="D56" s="1" t="n">
        <v>45251</v>
      </c>
      <c r="E56" s="1" t="n">
        <v>46261</v>
      </c>
      <c r="F56" t="inlineStr">
        <is>
          <t>STOCKHOLMS LÄN</t>
        </is>
      </c>
      <c r="G56" t="inlineStr">
        <is>
          <t>HANINGE</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18528-2024</t>
        </is>
      </c>
      <c r="B57" t="inlineStr">
        <is>
          <t>avverkningsanmälan</t>
        </is>
      </c>
      <c r="C57" t="inlineStr">
        <is>
          <t>Föryngringsavverkning</t>
        </is>
      </c>
      <c r="D57" s="1" t="n">
        <v>45425</v>
      </c>
      <c r="E57" s="1" t="n">
        <v>46261</v>
      </c>
      <c r="F57" t="inlineStr">
        <is>
          <t>STOCKHOLMS LÄN</t>
        </is>
      </c>
      <c r="G57" t="inlineStr">
        <is>
          <t>HANINGE</t>
        </is>
      </c>
      <c r="H57" t="inlineStr">
        <is>
          <t>Kommuner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46261</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26417-2026</t>
        </is>
      </c>
      <c r="B59" t="inlineStr">
        <is>
          <t>avverkningsanmälan</t>
        </is>
      </c>
      <c r="C59" t="inlineStr">
        <is>
          <t>Föryngringsavverkning</t>
        </is>
      </c>
      <c r="D59" s="1" t="n">
        <v>46183</v>
      </c>
      <c r="E59" s="1" t="n">
        <v>46261</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26886-2026</t>
        </is>
      </c>
      <c r="B60" t="inlineStr">
        <is>
          <t>avverkningsanmälan</t>
        </is>
      </c>
      <c r="C60" t="inlineStr">
        <is>
          <t>Avverkning för annat ändamål</t>
        </is>
      </c>
      <c r="D60" s="1" t="n">
        <v>46185</v>
      </c>
      <c r="E60" s="1" t="n">
        <v>46261</v>
      </c>
      <c r="F60" t="inlineStr">
        <is>
          <t>STOCKHOLMS LÄN</t>
        </is>
      </c>
      <c r="G60" t="inlineStr">
        <is>
          <t>HANINGE</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50306-2023</t>
        </is>
      </c>
      <c r="B61" t="inlineStr">
        <is>
          <t>avverkningsanmälan</t>
        </is>
      </c>
      <c r="C61" t="inlineStr">
        <is>
          <t>Föryngringsavverkning</t>
        </is>
      </c>
      <c r="D61" s="1" t="n">
        <v>45209</v>
      </c>
      <c r="E61" s="1" t="n">
        <v>46261</v>
      </c>
      <c r="F61" t="inlineStr">
        <is>
          <t>STOCKHOLMS LÄN</t>
        </is>
      </c>
      <c r="G61" t="inlineStr">
        <is>
          <t>HANINGE</t>
        </is>
      </c>
      <c r="I61" t="n">
        <v>2.3</v>
      </c>
      <c r="J61" t="n">
        <v>0</v>
      </c>
      <c r="K61" t="n">
        <v>0</v>
      </c>
      <c r="L61" t="n">
        <v>0</v>
      </c>
      <c r="M61" t="n">
        <v>0</v>
      </c>
      <c r="N61" t="n">
        <v>0</v>
      </c>
      <c r="O61" t="n">
        <v>0</v>
      </c>
      <c r="P61" t="n">
        <v>0</v>
      </c>
      <c r="Q61" t="n">
        <v>0</v>
      </c>
      <c r="R61" t="n">
        <v>0</v>
      </c>
      <c r="S61" t="n">
        <v>0</v>
      </c>
      <c r="T61" t="n">
        <v>0</v>
      </c>
      <c r="U61" t="n">
        <v>0</v>
      </c>
      <c r="V61" s="2" t="inlineStr"/>
      <c r="Z61">
        <f>HYPERLINK("https://klasma.github.io/Logging_0136/knärot/A 50306-2023 karta knärot.png", "A 50306-2023")</f>
        <v/>
      </c>
      <c r="AA61">
        <f>HYPERLINK("https://klasma.github.io/Logging_0136/klagomål/A 50306-2023 FSC-klagomål.docx", "A 50306-2023")</f>
        <v/>
      </c>
      <c r="AB61">
        <f>HYPERLINK("https://klasma.github.io/Logging_0136/klagomålsmail/A 50306-2023 FSC-klagomål mail.docx", "A 50306-2023")</f>
        <v/>
      </c>
      <c r="AC61">
        <f>HYPERLINK("https://klasma.github.io/Logging_0136/tillsyn/A 50306-2023 tillsynsbegäran.docx", "A 50306-2023")</f>
        <v/>
      </c>
      <c r="AD61">
        <f>HYPERLINK("https://klasma.github.io/Logging_0136/tillsynsmail/A 50306-2023 tillsynsbegäran mail.docx", "A 50306-2023")</f>
        <v/>
      </c>
    </row>
    <row r="62" ht="15" customHeight="1">
      <c r="A62" t="inlineStr">
        <is>
          <t>A 22288-2023</t>
        </is>
      </c>
      <c r="B62" t="inlineStr">
        <is>
          <t>avverkningsanmälan</t>
        </is>
      </c>
      <c r="C62" t="inlineStr">
        <is>
          <t>Föryngringsavverkning</t>
        </is>
      </c>
      <c r="D62" s="1" t="n">
        <v>45070</v>
      </c>
      <c r="E62" s="1" t="n">
        <v>46261</v>
      </c>
      <c r="F62" t="inlineStr">
        <is>
          <t>STOCKHOLMS LÄN</t>
        </is>
      </c>
      <c r="G62" t="inlineStr">
        <is>
          <t>HANINGE</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33792-2023</t>
        </is>
      </c>
      <c r="B63" t="inlineStr">
        <is>
          <t>avverkningsanmälan</t>
        </is>
      </c>
      <c r="C63" t="inlineStr">
        <is>
          <t>Föryngringsavverkning</t>
        </is>
      </c>
      <c r="D63" s="1" t="n">
        <v>45121</v>
      </c>
      <c r="E63" s="1" t="n">
        <v>46261</v>
      </c>
      <c r="F63" t="inlineStr">
        <is>
          <t>STOCKHOLMS LÄN</t>
        </is>
      </c>
      <c r="G63" t="inlineStr">
        <is>
          <t>HANINGE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20839-2024</t>
        </is>
      </c>
      <c r="B64" t="inlineStr">
        <is>
          <t>avverkningsanmälan</t>
        </is>
      </c>
      <c r="C64" t="inlineStr">
        <is>
          <t>Föryngringsavverkning</t>
        </is>
      </c>
      <c r="D64" s="1" t="n">
        <v>45439</v>
      </c>
      <c r="E64" s="1" t="n">
        <v>46261</v>
      </c>
      <c r="F64" t="inlineStr">
        <is>
          <t>STOCKHOLMS LÄN</t>
        </is>
      </c>
      <c r="G64" t="inlineStr">
        <is>
          <t>HANINGE</t>
        </is>
      </c>
      <c r="I64" t="n">
        <v>8.4</v>
      </c>
      <c r="J64" t="n">
        <v>0</v>
      </c>
      <c r="K64" t="n">
        <v>0</v>
      </c>
      <c r="L64" t="n">
        <v>0</v>
      </c>
      <c r="M64" t="n">
        <v>0</v>
      </c>
      <c r="N64" t="n">
        <v>0</v>
      </c>
      <c r="O64" t="n">
        <v>0</v>
      </c>
      <c r="P64" t="n">
        <v>0</v>
      </c>
      <c r="Q64" t="n">
        <v>0</v>
      </c>
      <c r="R64" t="n">
        <v>0</v>
      </c>
      <c r="S64" t="n">
        <v>0</v>
      </c>
      <c r="T64" t="n">
        <v>0</v>
      </c>
      <c r="U64" t="n">
        <v>0</v>
      </c>
      <c r="V64" s="2" t="inlineStr"/>
    </row>
    <row r="65" ht="15" customHeight="1">
      <c r="A65" t="inlineStr">
        <is>
          <t>A 32486-2026</t>
        </is>
      </c>
      <c r="B65" t="inlineStr">
        <is>
          <t>avverkningsanmälan</t>
        </is>
      </c>
      <c r="C65" t="inlineStr">
        <is>
          <t>Föryngringsavverkning</t>
        </is>
      </c>
      <c r="D65" s="1" t="n">
        <v>46239</v>
      </c>
      <c r="E65" s="1" t="n">
        <v>46261</v>
      </c>
      <c r="F65" t="inlineStr">
        <is>
          <t>STOCKHOLMS LÄN</t>
        </is>
      </c>
      <c r="G65" t="inlineStr">
        <is>
          <t>HANINGE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46261</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4297-2024</t>
        </is>
      </c>
      <c r="B67" t="inlineStr">
        <is>
          <t>avverkningsanmälan</t>
        </is>
      </c>
      <c r="C67" t="inlineStr">
        <is>
          <t>Föryngringsavverkning</t>
        </is>
      </c>
      <c r="D67" s="1" t="n">
        <v>45324</v>
      </c>
      <c r="E67" s="1" t="n">
        <v>46261</v>
      </c>
      <c r="F67" t="inlineStr">
        <is>
          <t>STOCKHOLMS LÄN</t>
        </is>
      </c>
      <c r="G67" t="inlineStr">
        <is>
          <t>HANINGE</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17765-2024</t>
        </is>
      </c>
      <c r="B68" t="inlineStr">
        <is>
          <t>avverkningsanmälan</t>
        </is>
      </c>
      <c r="C68" t="inlineStr">
        <is>
          <t>Föryngringsavverkning</t>
        </is>
      </c>
      <c r="D68" s="1" t="n">
        <v>45418</v>
      </c>
      <c r="E68" s="1" t="n">
        <v>46261</v>
      </c>
      <c r="F68" t="inlineStr">
        <is>
          <t>STOCKHOLMS LÄN</t>
        </is>
      </c>
      <c r="G68" t="inlineStr">
        <is>
          <t>HANINGE</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25584-2023</t>
        </is>
      </c>
      <c r="B69" t="inlineStr">
        <is>
          <t>avverkningsanmälan</t>
        </is>
      </c>
      <c r="C69" t="inlineStr">
        <is>
          <t>Föryngringsavverkning</t>
        </is>
      </c>
      <c r="D69" s="1" t="n">
        <v>45089</v>
      </c>
      <c r="E69" s="1" t="n">
        <v>46261</v>
      </c>
      <c r="F69" t="inlineStr">
        <is>
          <t>STOCKHOLMS LÄN</t>
        </is>
      </c>
      <c r="G69" t="inlineStr">
        <is>
          <t>HANINGE</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20527-2025</t>
        </is>
      </c>
      <c r="B70" t="inlineStr">
        <is>
          <t>avverkningsanmälan</t>
        </is>
      </c>
      <c r="C70" t="inlineStr">
        <is>
          <t>Föryngringsavverkning</t>
        </is>
      </c>
      <c r="D70" s="1" t="n">
        <v>45775</v>
      </c>
      <c r="E70" s="1" t="n">
        <v>46261</v>
      </c>
      <c r="F70" t="inlineStr">
        <is>
          <t>STOCKHOLMS LÄN</t>
        </is>
      </c>
      <c r="G70" t="inlineStr">
        <is>
          <t>HANINGE</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1180-2024</t>
        </is>
      </c>
      <c r="B71" t="inlineStr">
        <is>
          <t>avverkningsanmälan</t>
        </is>
      </c>
      <c r="C71" t="inlineStr">
        <is>
          <t>Föryngringsavverkning</t>
        </is>
      </c>
      <c r="D71" s="1" t="n">
        <v>45302</v>
      </c>
      <c r="E71" s="1" t="n">
        <v>46261</v>
      </c>
      <c r="F71" t="inlineStr">
        <is>
          <t>STOCKHOLMS LÄN</t>
        </is>
      </c>
      <c r="G71" t="inlineStr">
        <is>
          <t>HANINGE</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19220-2023</t>
        </is>
      </c>
      <c r="B72" t="inlineStr">
        <is>
          <t>avverkningsanmälan</t>
        </is>
      </c>
      <c r="C72" t="inlineStr">
        <is>
          <t>Föryngringsavverkning</t>
        </is>
      </c>
      <c r="D72" s="1" t="n">
        <v>45048</v>
      </c>
      <c r="E72" s="1" t="n">
        <v>46261</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18490-2025</t>
        </is>
      </c>
      <c r="B73" t="inlineStr">
        <is>
          <t>avverkningsanmälan</t>
        </is>
      </c>
      <c r="C73" t="inlineStr">
        <is>
          <t>Föryngringsavverkning</t>
        </is>
      </c>
      <c r="D73" s="1" t="n">
        <v>45763</v>
      </c>
      <c r="E73" s="1" t="n">
        <v>46261</v>
      </c>
      <c r="F73" t="inlineStr">
        <is>
          <t>STOCKHOLMS LÄN</t>
        </is>
      </c>
      <c r="G73" t="inlineStr">
        <is>
          <t>HANINGE</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64568-2023</t>
        </is>
      </c>
      <c r="B74" t="inlineStr">
        <is>
          <t>avverkningsanmälan</t>
        </is>
      </c>
      <c r="C74" t="inlineStr">
        <is>
          <t>Föryngringsavverkning</t>
        </is>
      </c>
      <c r="D74" s="1" t="n">
        <v>45281</v>
      </c>
      <c r="E74" s="1" t="n">
        <v>46261</v>
      </c>
      <c r="F74" t="inlineStr">
        <is>
          <t>STOCKHOLMS LÄN</t>
        </is>
      </c>
      <c r="G74" t="inlineStr">
        <is>
          <t>HANINGE</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18548-2024</t>
        </is>
      </c>
      <c r="B75" t="inlineStr">
        <is>
          <t>avverkningsanmälan</t>
        </is>
      </c>
      <c r="C75" t="inlineStr">
        <is>
          <t>Föryngringsavverkning</t>
        </is>
      </c>
      <c r="D75" s="1" t="n">
        <v>45425</v>
      </c>
      <c r="E75" s="1" t="n">
        <v>46261</v>
      </c>
      <c r="F75" t="inlineStr">
        <is>
          <t>STOCKHOLMS LÄN</t>
        </is>
      </c>
      <c r="G75" t="inlineStr">
        <is>
          <t>HANINGE</t>
        </is>
      </c>
      <c r="H75" t="inlineStr">
        <is>
          <t>Kommuner</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68894-2021</t>
        </is>
      </c>
      <c r="B76" t="inlineStr">
        <is>
          <t>avverkningsanmälan</t>
        </is>
      </c>
      <c r="C76" t="inlineStr">
        <is>
          <t>Föryngringsavverkning</t>
        </is>
      </c>
      <c r="D76" s="1" t="n">
        <v>44526</v>
      </c>
      <c r="E76" s="1" t="n">
        <v>46261</v>
      </c>
      <c r="F76" t="inlineStr">
        <is>
          <t>STOCKHOLMS LÄN</t>
        </is>
      </c>
      <c r="G76" t="inlineStr">
        <is>
          <t>HANINGE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13046-2022</t>
        </is>
      </c>
      <c r="B77" t="inlineStr">
        <is>
          <t>avverkningsanmälan</t>
        </is>
      </c>
      <c r="C77" t="inlineStr">
        <is>
          <t>Föryngringsavverkning</t>
        </is>
      </c>
      <c r="D77" s="1" t="n">
        <v>44643</v>
      </c>
      <c r="E77" s="1" t="n">
        <v>46261</v>
      </c>
      <c r="F77" t="inlineStr">
        <is>
          <t>STOCKHOLMS LÄN</t>
        </is>
      </c>
      <c r="G77" t="inlineStr">
        <is>
          <t>HANINGE</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8078-2024</t>
        </is>
      </c>
      <c r="B78" t="inlineStr">
        <is>
          <t>avverkningsanmälan</t>
        </is>
      </c>
      <c r="C78" t="inlineStr">
        <is>
          <t>Föryngringsavverkning</t>
        </is>
      </c>
      <c r="D78" s="1" t="n">
        <v>45351</v>
      </c>
      <c r="E78" s="1" t="n">
        <v>46261</v>
      </c>
      <c r="F78" t="inlineStr">
        <is>
          <t>STOCKHOLMS LÄN</t>
        </is>
      </c>
      <c r="G78" t="inlineStr">
        <is>
          <t>HANINGE</t>
        </is>
      </c>
      <c r="H78" t="inlineStr">
        <is>
          <t>Kommuner</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24873-2023</t>
        </is>
      </c>
      <c r="B79" t="inlineStr">
        <is>
          <t>avverkningsanmälan</t>
        </is>
      </c>
      <c r="C79" t="inlineStr">
        <is>
          <t>Föryngringsavverkning</t>
        </is>
      </c>
      <c r="D79" s="1" t="n">
        <v>45085</v>
      </c>
      <c r="E79" s="1" t="n">
        <v>46261</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23666-2024</t>
        </is>
      </c>
      <c r="B80" t="inlineStr">
        <is>
          <t>avverkningsanmälan</t>
        </is>
      </c>
      <c r="C80" t="inlineStr">
        <is>
          <t>Föryngringsavverkning</t>
        </is>
      </c>
      <c r="D80" s="1" t="n">
        <v>45454</v>
      </c>
      <c r="E80" s="1" t="n">
        <v>46261</v>
      </c>
      <c r="F80" t="inlineStr">
        <is>
          <t>STOCKHOLMS LÄN</t>
        </is>
      </c>
      <c r="G80" t="inlineStr">
        <is>
          <t>HANINGE</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9946-2024</t>
        </is>
      </c>
      <c r="B81" t="inlineStr">
        <is>
          <t>avverkningsanmälan</t>
        </is>
      </c>
      <c r="C81" t="inlineStr">
        <is>
          <t>Föryngringsavverkning</t>
        </is>
      </c>
      <c r="D81" s="1" t="n">
        <v>45363</v>
      </c>
      <c r="E81" s="1" t="n">
        <v>46261</v>
      </c>
      <c r="F81" t="inlineStr">
        <is>
          <t>STOCKHOLMS LÄN</t>
        </is>
      </c>
      <c r="G81" t="inlineStr">
        <is>
          <t>HANINGE</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52836-2024</t>
        </is>
      </c>
      <c r="B82" t="inlineStr">
        <is>
          <t>avverkningsanmälan</t>
        </is>
      </c>
      <c r="C82" t="inlineStr">
        <is>
          <t>Föryngringsavverkning</t>
        </is>
      </c>
      <c r="D82" s="1" t="n">
        <v>45610</v>
      </c>
      <c r="E82" s="1" t="n">
        <v>46261</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5474-2024</t>
        </is>
      </c>
      <c r="B83" t="inlineStr">
        <is>
          <t>avverkningsanmälan</t>
        </is>
      </c>
      <c r="C83" t="inlineStr">
        <is>
          <t>Föryngringsavverkning</t>
        </is>
      </c>
      <c r="D83" s="1" t="n">
        <v>45333</v>
      </c>
      <c r="E83" s="1" t="n">
        <v>46261</v>
      </c>
      <c r="F83" t="inlineStr">
        <is>
          <t>STOCKHOLMS LÄN</t>
        </is>
      </c>
      <c r="G83" t="inlineStr">
        <is>
          <t>HANINGE</t>
        </is>
      </c>
      <c r="H83" t="inlineStr">
        <is>
          <t>Kommuner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14900-2025</t>
        </is>
      </c>
      <c r="B84" t="inlineStr">
        <is>
          <t>avverkningsanmälan</t>
        </is>
      </c>
      <c r="C84" t="inlineStr">
        <is>
          <t>Föryngringsavverkning</t>
        </is>
      </c>
      <c r="D84" s="1" t="n">
        <v>45743</v>
      </c>
      <c r="E84" s="1" t="n">
        <v>46261</v>
      </c>
      <c r="F84" t="inlineStr">
        <is>
          <t>STOCKHOLMS LÄN</t>
        </is>
      </c>
      <c r="G84" t="inlineStr">
        <is>
          <t>HANINGE</t>
        </is>
      </c>
      <c r="I84" t="n">
        <v>4.5</v>
      </c>
      <c r="J84" t="n">
        <v>0</v>
      </c>
      <c r="K84" t="n">
        <v>0</v>
      </c>
      <c r="L84" t="n">
        <v>0</v>
      </c>
      <c r="M84" t="n">
        <v>0</v>
      </c>
      <c r="N84" t="n">
        <v>0</v>
      </c>
      <c r="O84" t="n">
        <v>0</v>
      </c>
      <c r="P84" t="n">
        <v>0</v>
      </c>
      <c r="Q84" t="n">
        <v>0</v>
      </c>
      <c r="R84" t="n">
        <v>0</v>
      </c>
      <c r="S84" t="n">
        <v>0</v>
      </c>
      <c r="T84" t="n">
        <v>0</v>
      </c>
      <c r="U84" t="n">
        <v>0</v>
      </c>
      <c r="V84" s="2" t="inlineStr"/>
    </row>
    <row r="85">
      <c r="A85" t="inlineStr">
        <is>
          <t>S 1718-2026</t>
        </is>
      </c>
      <c r="B85" t="inlineStr">
        <is>
          <t>samrådsanmälan</t>
        </is>
      </c>
      <c r="C85" t="inlineStr">
        <is>
          <t>Annan skogsbruksåtgärd</t>
        </is>
      </c>
      <c r="D85" s="1" t="n">
        <v>46188</v>
      </c>
      <c r="E85" s="1" t="n">
        <v>46261</v>
      </c>
      <c r="F85" t="inlineStr">
        <is>
          <t>STOCKHOLMS LÄN</t>
        </is>
      </c>
      <c r="G85" t="inlineStr">
        <is>
          <t>HANINGE</t>
        </is>
      </c>
      <c r="I85" t="n">
        <v>1.9</v>
      </c>
      <c r="J85" t="n">
        <v>0</v>
      </c>
      <c r="K85" t="n">
        <v>0</v>
      </c>
      <c r="L85" t="n">
        <v>0</v>
      </c>
      <c r="M85" t="n">
        <v>0</v>
      </c>
      <c r="N85" t="n">
        <v>0</v>
      </c>
      <c r="O85" t="n">
        <v>0</v>
      </c>
      <c r="P85" t="n">
        <v>0</v>
      </c>
      <c r="Q85" t="n">
        <v>0</v>
      </c>
      <c r="R85" t="n">
        <v>0</v>
      </c>
      <c r="S85" t="n">
        <v>0</v>
      </c>
      <c r="T85" t="n">
        <v>0</v>
      </c>
      <c r="U85" t="n">
        <v>0</v>
      </c>
      <c r="V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2026-08-27T01:49:44Z</dcterms:created>
  <dcterms:modified xmlns:dcterms="http://purl.org/dc/terms/" xmlns:xsi="http://www.w3.org/2001/XMLSchema-instance" xsi:type="dcterms:W3CDTF">2026-08-27T01:49:45Z</dcterms:modified>
</cp:coreProperties>
</file>