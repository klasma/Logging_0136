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45891</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45891</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45891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45891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45891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45891</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45891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45891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45891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45891</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45891</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45891</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53858-2020</t>
        </is>
      </c>
      <c r="B14" s="1" t="n">
        <v>44125</v>
      </c>
      <c r="C14" s="1" t="n">
        <v>45891</v>
      </c>
      <c r="D14" t="inlineStr">
        <is>
          <t>STOCKHOLMS LÄN</t>
        </is>
      </c>
      <c r="E14" t="inlineStr">
        <is>
          <t>HANINGE</t>
        </is>
      </c>
      <c r="G14" t="n">
        <v>18.5</v>
      </c>
      <c r="H14" t="n">
        <v>2</v>
      </c>
      <c r="I14" t="n">
        <v>1</v>
      </c>
      <c r="J14" t="n">
        <v>0</v>
      </c>
      <c r="K14" t="n">
        <v>0</v>
      </c>
      <c r="L14" t="n">
        <v>0</v>
      </c>
      <c r="M14" t="n">
        <v>0</v>
      </c>
      <c r="N14" t="n">
        <v>0</v>
      </c>
      <c r="O14" t="n">
        <v>0</v>
      </c>
      <c r="P14" t="n">
        <v>0</v>
      </c>
      <c r="Q14" t="n">
        <v>2</v>
      </c>
      <c r="R14" s="2" t="inlineStr">
        <is>
          <t>Korallrot
Fläcknycklar</t>
        </is>
      </c>
      <c r="S14">
        <f>HYPERLINK("https://klasma.github.io/Logging_0136/artfynd/A 53858-2020 artfynd.xlsx", "A 53858-2020")</f>
        <v/>
      </c>
      <c r="T14">
        <f>HYPERLINK("https://klasma.github.io/Logging_0136/kartor/A 53858-2020 karta.png", "A 53858-2020")</f>
        <v/>
      </c>
      <c r="V14">
        <f>HYPERLINK("https://klasma.github.io/Logging_0136/klagomål/A 53858-2020 FSC-klagomål.docx", "A 53858-2020")</f>
        <v/>
      </c>
      <c r="W14">
        <f>HYPERLINK("https://klasma.github.io/Logging_0136/klagomålsmail/A 53858-2020 FSC-klagomål mail.docx", "A 53858-2020")</f>
        <v/>
      </c>
      <c r="X14">
        <f>HYPERLINK("https://klasma.github.io/Logging_0136/tillsyn/A 53858-2020 tillsynsbegäran.docx", "A 53858-2020")</f>
        <v/>
      </c>
      <c r="Y14">
        <f>HYPERLINK("https://klasma.github.io/Logging_0136/tillsynsmail/A 53858-2020 tillsynsbegäran mail.docx", "A 53858-2020")</f>
        <v/>
      </c>
    </row>
    <row r="15" ht="15" customHeight="1">
      <c r="A15" t="inlineStr">
        <is>
          <t>A 14729-2023</t>
        </is>
      </c>
      <c r="B15" s="1" t="n">
        <v>45014</v>
      </c>
      <c r="C15" s="1" t="n">
        <v>45891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45891</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45891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45891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45891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45891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45891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45891</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34823-2022</t>
        </is>
      </c>
      <c r="B23" s="1" t="n">
        <v>44796</v>
      </c>
      <c r="C23" s="1" t="n">
        <v>45891</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60369-2023</t>
        </is>
      </c>
      <c r="B24" s="1" t="n">
        <v>45259</v>
      </c>
      <c r="C24" s="1" t="n">
        <v>45891</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68883-2021</t>
        </is>
      </c>
      <c r="B25" s="1" t="n">
        <v>44526</v>
      </c>
      <c r="C25" s="1" t="n">
        <v>45891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45891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45891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45891</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45891</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45891</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45891</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45891</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45891</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45891</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45891</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45891</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45891</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45891</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45891</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45891</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45891</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45891</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45891</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45891</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45891</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45891</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45891</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45891</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45891</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50306-2023</t>
        </is>
      </c>
      <c r="B50" s="1" t="n">
        <v>45209</v>
      </c>
      <c r="C50" s="1" t="n">
        <v>45891</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c r="U50">
        <f>HYPERLINK("https://klasma.github.io/Logging_0136/knärot/A 50306-2023 karta knärot.png", "A 50306-2023")</f>
        <v/>
      </c>
      <c r="V50">
        <f>HYPERLINK("https://klasma.github.io/Logging_0136/klagomål/A 50306-2023 FSC-klagomål.docx", "A 50306-2023")</f>
        <v/>
      </c>
      <c r="W50">
        <f>HYPERLINK("https://klasma.github.io/Logging_0136/klagomålsmail/A 50306-2023 FSC-klagomål mail.docx", "A 50306-2023")</f>
        <v/>
      </c>
      <c r="X50">
        <f>HYPERLINK("https://klasma.github.io/Logging_0136/tillsyn/A 50306-2023 tillsynsbegäran.docx", "A 50306-2023")</f>
        <v/>
      </c>
      <c r="Y50">
        <f>HYPERLINK("https://klasma.github.io/Logging_0136/tillsynsmail/A 50306-2023 tillsynsbegäran mail.docx", "A 50306-2023")</f>
        <v/>
      </c>
    </row>
    <row r="51" ht="15" customHeight="1">
      <c r="A51" t="inlineStr">
        <is>
          <t>A 24873-2023</t>
        </is>
      </c>
      <c r="B51" s="1" t="n">
        <v>45085</v>
      </c>
      <c r="C51" s="1" t="n">
        <v>45891</v>
      </c>
      <c r="D51" t="inlineStr">
        <is>
          <t>STOCKHOLMS LÄN</t>
        </is>
      </c>
      <c r="E51" t="inlineStr">
        <is>
          <t>HANINGE</t>
        </is>
      </c>
      <c r="G51" t="n">
        <v>1.9</v>
      </c>
      <c r="H51" t="n">
        <v>0</v>
      </c>
      <c r="I51" t="n">
        <v>0</v>
      </c>
      <c r="J51" t="n">
        <v>0</v>
      </c>
      <c r="K51" t="n">
        <v>0</v>
      </c>
      <c r="L51" t="n">
        <v>0</v>
      </c>
      <c r="M51" t="n">
        <v>0</v>
      </c>
      <c r="N51" t="n">
        <v>0</v>
      </c>
      <c r="O51" t="n">
        <v>0</v>
      </c>
      <c r="P51" t="n">
        <v>0</v>
      </c>
      <c r="Q51" t="n">
        <v>0</v>
      </c>
      <c r="R51" s="2" t="inlineStr"/>
    </row>
    <row r="52" ht="15" customHeight="1">
      <c r="A52" t="inlineStr">
        <is>
          <t>A 22288-2023</t>
        </is>
      </c>
      <c r="B52" s="1" t="n">
        <v>45070</v>
      </c>
      <c r="C52" s="1" t="n">
        <v>45891</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3156-2025</t>
        </is>
      </c>
      <c r="B53" s="1" t="n">
        <v>45679.32142361111</v>
      </c>
      <c r="C53" s="1" t="n">
        <v>45891</v>
      </c>
      <c r="D53" t="inlineStr">
        <is>
          <t>STOCKHOLMS LÄN</t>
        </is>
      </c>
      <c r="E53" t="inlineStr">
        <is>
          <t>HANINGE</t>
        </is>
      </c>
      <c r="G53" t="n">
        <v>3.3</v>
      </c>
      <c r="H53" t="n">
        <v>0</v>
      </c>
      <c r="I53" t="n">
        <v>0</v>
      </c>
      <c r="J53" t="n">
        <v>0</v>
      </c>
      <c r="K53" t="n">
        <v>0</v>
      </c>
      <c r="L53" t="n">
        <v>0</v>
      </c>
      <c r="M53" t="n">
        <v>0</v>
      </c>
      <c r="N53" t="n">
        <v>0</v>
      </c>
      <c r="O53" t="n">
        <v>0</v>
      </c>
      <c r="P53" t="n">
        <v>0</v>
      </c>
      <c r="Q53" t="n">
        <v>0</v>
      </c>
      <c r="R53" s="2" t="inlineStr"/>
    </row>
    <row r="54" ht="15" customHeight="1">
      <c r="A54" t="inlineStr">
        <is>
          <t>A 52773-2024</t>
        </is>
      </c>
      <c r="B54" s="1" t="n">
        <v>45610.53207175926</v>
      </c>
      <c r="C54" s="1" t="n">
        <v>45891</v>
      </c>
      <c r="D54" t="inlineStr">
        <is>
          <t>STOCKHOLMS LÄN</t>
        </is>
      </c>
      <c r="E54" t="inlineStr">
        <is>
          <t>HANINGE</t>
        </is>
      </c>
      <c r="G54" t="n">
        <v>0.7</v>
      </c>
      <c r="H54" t="n">
        <v>0</v>
      </c>
      <c r="I54" t="n">
        <v>0</v>
      </c>
      <c r="J54" t="n">
        <v>0</v>
      </c>
      <c r="K54" t="n">
        <v>0</v>
      </c>
      <c r="L54" t="n">
        <v>0</v>
      </c>
      <c r="M54" t="n">
        <v>0</v>
      </c>
      <c r="N54" t="n">
        <v>0</v>
      </c>
      <c r="O54" t="n">
        <v>0</v>
      </c>
      <c r="P54" t="n">
        <v>0</v>
      </c>
      <c r="Q54" t="n">
        <v>0</v>
      </c>
      <c r="R54" s="2" t="inlineStr"/>
    </row>
    <row r="55" ht="15" customHeight="1">
      <c r="A55" t="inlineStr">
        <is>
          <t>A 33792-2023</t>
        </is>
      </c>
      <c r="B55" s="1" t="n">
        <v>45121</v>
      </c>
      <c r="C55" s="1" t="n">
        <v>45891</v>
      </c>
      <c r="D55" t="inlineStr">
        <is>
          <t>STOCKHOLMS LÄN</t>
        </is>
      </c>
      <c r="E55" t="inlineStr">
        <is>
          <t>HANINGE</t>
        </is>
      </c>
      <c r="G55" t="n">
        <v>1.4</v>
      </c>
      <c r="H55" t="n">
        <v>0</v>
      </c>
      <c r="I55" t="n">
        <v>0</v>
      </c>
      <c r="J55" t="n">
        <v>0</v>
      </c>
      <c r="K55" t="n">
        <v>0</v>
      </c>
      <c r="L55" t="n">
        <v>0</v>
      </c>
      <c r="M55" t="n">
        <v>0</v>
      </c>
      <c r="N55" t="n">
        <v>0</v>
      </c>
      <c r="O55" t="n">
        <v>0</v>
      </c>
      <c r="P55" t="n">
        <v>0</v>
      </c>
      <c r="Q55" t="n">
        <v>0</v>
      </c>
      <c r="R55" s="2" t="inlineStr"/>
    </row>
    <row r="56" ht="15" customHeight="1">
      <c r="A56" t="inlineStr">
        <is>
          <t>A 23666-2024</t>
        </is>
      </c>
      <c r="B56" s="1" t="n">
        <v>45454.57909722222</v>
      </c>
      <c r="C56" s="1" t="n">
        <v>45891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9946-2024</t>
        </is>
      </c>
      <c r="B57" s="1" t="n">
        <v>45363.59789351852</v>
      </c>
      <c r="C57" s="1" t="n">
        <v>45891</v>
      </c>
      <c r="D57" t="inlineStr">
        <is>
          <t>STOCKHOLMS LÄN</t>
        </is>
      </c>
      <c r="E57" t="inlineStr">
        <is>
          <t>HANINGE</t>
        </is>
      </c>
      <c r="G57" t="n">
        <v>3.8</v>
      </c>
      <c r="H57" t="n">
        <v>0</v>
      </c>
      <c r="I57" t="n">
        <v>0</v>
      </c>
      <c r="J57" t="n">
        <v>0</v>
      </c>
      <c r="K57" t="n">
        <v>0</v>
      </c>
      <c r="L57" t="n">
        <v>0</v>
      </c>
      <c r="M57" t="n">
        <v>0</v>
      </c>
      <c r="N57" t="n">
        <v>0</v>
      </c>
      <c r="O57" t="n">
        <v>0</v>
      </c>
      <c r="P57" t="n">
        <v>0</v>
      </c>
      <c r="Q57" t="n">
        <v>0</v>
      </c>
      <c r="R57" s="2" t="inlineStr"/>
    </row>
    <row r="58" ht="15" customHeight="1">
      <c r="A58" t="inlineStr">
        <is>
          <t>A 20495-2025</t>
        </is>
      </c>
      <c r="B58" s="1" t="n">
        <v>45775.57335648148</v>
      </c>
      <c r="C58" s="1" t="n">
        <v>45891</v>
      </c>
      <c r="D58" t="inlineStr">
        <is>
          <t>STOCKHOLMS LÄN</t>
        </is>
      </c>
      <c r="E58" t="inlineStr">
        <is>
          <t>HANINGE</t>
        </is>
      </c>
      <c r="G58" t="n">
        <v>6.6</v>
      </c>
      <c r="H58" t="n">
        <v>0</v>
      </c>
      <c r="I58" t="n">
        <v>0</v>
      </c>
      <c r="J58" t="n">
        <v>0</v>
      </c>
      <c r="K58" t="n">
        <v>0</v>
      </c>
      <c r="L58" t="n">
        <v>0</v>
      </c>
      <c r="M58" t="n">
        <v>0</v>
      </c>
      <c r="N58" t="n">
        <v>0</v>
      </c>
      <c r="O58" t="n">
        <v>0</v>
      </c>
      <c r="P58" t="n">
        <v>0</v>
      </c>
      <c r="Q58" t="n">
        <v>0</v>
      </c>
      <c r="R58" s="2" t="inlineStr"/>
    </row>
    <row r="59" ht="15" customHeight="1">
      <c r="A59" t="inlineStr">
        <is>
          <t>A 20839-2024</t>
        </is>
      </c>
      <c r="B59" s="1" t="n">
        <v>45439.39953703704</v>
      </c>
      <c r="C59" s="1" t="n">
        <v>45891</v>
      </c>
      <c r="D59" t="inlineStr">
        <is>
          <t>STOCKHOLMS LÄN</t>
        </is>
      </c>
      <c r="E59" t="inlineStr">
        <is>
          <t>HANINGE</t>
        </is>
      </c>
      <c r="G59" t="n">
        <v>8.4</v>
      </c>
      <c r="H59" t="n">
        <v>0</v>
      </c>
      <c r="I59" t="n">
        <v>0</v>
      </c>
      <c r="J59" t="n">
        <v>0</v>
      </c>
      <c r="K59" t="n">
        <v>0</v>
      </c>
      <c r="L59" t="n">
        <v>0</v>
      </c>
      <c r="M59" t="n">
        <v>0</v>
      </c>
      <c r="N59" t="n">
        <v>0</v>
      </c>
      <c r="O59" t="n">
        <v>0</v>
      </c>
      <c r="P59" t="n">
        <v>0</v>
      </c>
      <c r="Q59" t="n">
        <v>0</v>
      </c>
      <c r="R59" s="2" t="inlineStr"/>
    </row>
    <row r="60" ht="15" customHeight="1">
      <c r="A60" t="inlineStr">
        <is>
          <t>A 14258-2025</t>
        </is>
      </c>
      <c r="B60" s="1" t="n">
        <v>45740.62357638889</v>
      </c>
      <c r="C60" s="1" t="n">
        <v>45891</v>
      </c>
      <c r="D60" t="inlineStr">
        <is>
          <t>STOCKHOLMS LÄN</t>
        </is>
      </c>
      <c r="E60" t="inlineStr">
        <is>
          <t>HANINGE</t>
        </is>
      </c>
      <c r="G60" t="n">
        <v>3.7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45891</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45891</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17023-2022</t>
        </is>
      </c>
      <c r="B63" s="1" t="n">
        <v>44676</v>
      </c>
      <c r="C63" s="1" t="n">
        <v>45891</v>
      </c>
      <c r="D63" t="inlineStr">
        <is>
          <t>STOCKHOLMS LÄN</t>
        </is>
      </c>
      <c r="E63" t="inlineStr">
        <is>
          <t>HANINGE</t>
        </is>
      </c>
      <c r="F63" t="inlineStr">
        <is>
          <t>Övriga statliga verk och myndigheter</t>
        </is>
      </c>
      <c r="G63" t="n">
        <v>11.4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45891</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45891</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18512-2024</t>
        </is>
      </c>
      <c r="B66" s="1" t="n">
        <v>45425.59938657407</v>
      </c>
      <c r="C66" s="1" t="n">
        <v>45891</v>
      </c>
      <c r="D66" t="inlineStr">
        <is>
          <t>STOCKHOLMS LÄN</t>
        </is>
      </c>
      <c r="E66" t="inlineStr">
        <is>
          <t>HANINGE</t>
        </is>
      </c>
      <c r="F66" t="inlineStr">
        <is>
          <t>Kommuner</t>
        </is>
      </c>
      <c r="G66" t="n">
        <v>0.7</v>
      </c>
      <c r="H66" t="n">
        <v>0</v>
      </c>
      <c r="I66" t="n">
        <v>0</v>
      </c>
      <c r="J66" t="n">
        <v>0</v>
      </c>
      <c r="K66" t="n">
        <v>0</v>
      </c>
      <c r="L66" t="n">
        <v>0</v>
      </c>
      <c r="M66" t="n">
        <v>0</v>
      </c>
      <c r="N66" t="n">
        <v>0</v>
      </c>
      <c r="O66" t="n">
        <v>0</v>
      </c>
      <c r="P66" t="n">
        <v>0</v>
      </c>
      <c r="Q66" t="n">
        <v>0</v>
      </c>
      <c r="R66" s="2" t="inlineStr"/>
    </row>
    <row r="67" ht="15" customHeight="1">
      <c r="A67" t="inlineStr">
        <is>
          <t>A 5474-2024</t>
        </is>
      </c>
      <c r="B67" s="1" t="n">
        <v>45333.51131944444</v>
      </c>
      <c r="C67" s="1" t="n">
        <v>45891</v>
      </c>
      <c r="D67" t="inlineStr">
        <is>
          <t>STOCKHOLMS LÄN</t>
        </is>
      </c>
      <c r="E67" t="inlineStr">
        <is>
          <t>HANINGE</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14900-2025</t>
        </is>
      </c>
      <c r="B68" s="1" t="n">
        <v>45743.48729166666</v>
      </c>
      <c r="C68" s="1" t="n">
        <v>45891</v>
      </c>
      <c r="D68" t="inlineStr">
        <is>
          <t>STOCKHOLMS LÄN</t>
        </is>
      </c>
      <c r="E68" t="inlineStr">
        <is>
          <t>HANINGE</t>
        </is>
      </c>
      <c r="G68" t="n">
        <v>4.5</v>
      </c>
      <c r="H68" t="n">
        <v>0</v>
      </c>
      <c r="I68" t="n">
        <v>0</v>
      </c>
      <c r="J68" t="n">
        <v>0</v>
      </c>
      <c r="K68" t="n">
        <v>0</v>
      </c>
      <c r="L68" t="n">
        <v>0</v>
      </c>
      <c r="M68" t="n">
        <v>0</v>
      </c>
      <c r="N68" t="n">
        <v>0</v>
      </c>
      <c r="O68" t="n">
        <v>0</v>
      </c>
      <c r="P68" t="n">
        <v>0</v>
      </c>
      <c r="Q68" t="n">
        <v>0</v>
      </c>
      <c r="R68" s="2" t="inlineStr"/>
    </row>
    <row r="69" ht="15" customHeight="1">
      <c r="A69" t="inlineStr">
        <is>
          <t>A 4297-2024</t>
        </is>
      </c>
      <c r="B69" s="1" t="n">
        <v>45324.62291666667</v>
      </c>
      <c r="C69" s="1" t="n">
        <v>45891</v>
      </c>
      <c r="D69" t="inlineStr">
        <is>
          <t>STOCKHOLMS LÄN</t>
        </is>
      </c>
      <c r="E69" t="inlineStr">
        <is>
          <t>HANINGE</t>
        </is>
      </c>
      <c r="F69" t="inlineStr">
        <is>
          <t>Kommuner</t>
        </is>
      </c>
      <c r="G69" t="n">
        <v>0.4</v>
      </c>
      <c r="H69" t="n">
        <v>0</v>
      </c>
      <c r="I69" t="n">
        <v>0</v>
      </c>
      <c r="J69" t="n">
        <v>0</v>
      </c>
      <c r="K69" t="n">
        <v>0</v>
      </c>
      <c r="L69" t="n">
        <v>0</v>
      </c>
      <c r="M69" t="n">
        <v>0</v>
      </c>
      <c r="N69" t="n">
        <v>0</v>
      </c>
      <c r="O69" t="n">
        <v>0</v>
      </c>
      <c r="P69" t="n">
        <v>0</v>
      </c>
      <c r="Q69" t="n">
        <v>0</v>
      </c>
      <c r="R69" s="2" t="inlineStr"/>
    </row>
    <row r="70" ht="15" customHeight="1">
      <c r="A70" t="inlineStr">
        <is>
          <t>A 68896-2021</t>
        </is>
      </c>
      <c r="B70" s="1" t="n">
        <v>44526</v>
      </c>
      <c r="C70" s="1" t="n">
        <v>45891</v>
      </c>
      <c r="D70" t="inlineStr">
        <is>
          <t>STOCKHOLMS LÄN</t>
        </is>
      </c>
      <c r="E70" t="inlineStr">
        <is>
          <t>HANINGE</t>
        </is>
      </c>
      <c r="G70" t="n">
        <v>3.4</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45891</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21231-2025</t>
        </is>
      </c>
      <c r="B72" s="1" t="n">
        <v>45779.54644675926</v>
      </c>
      <c r="C72" s="1" t="n">
        <v>45891</v>
      </c>
      <c r="D72" t="inlineStr">
        <is>
          <t>STOCKHOLMS LÄN</t>
        </is>
      </c>
      <c r="E72" t="inlineStr">
        <is>
          <t>HANINGE</t>
        </is>
      </c>
      <c r="G72" t="n">
        <v>4.3</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45891</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17765-2024</t>
        </is>
      </c>
      <c r="B74" s="1" t="n">
        <v>45418.63149305555</v>
      </c>
      <c r="C74" s="1" t="n">
        <v>45891</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45891</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6648-2023</t>
        </is>
      </c>
      <c r="B76" s="1" t="n">
        <v>44966</v>
      </c>
      <c r="C76" s="1" t="n">
        <v>45891</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7328-2025</t>
        </is>
      </c>
      <c r="B77" s="1" t="n">
        <v>45703.29252314815</v>
      </c>
      <c r="C77" s="1" t="n">
        <v>45891</v>
      </c>
      <c r="D77" t="inlineStr">
        <is>
          <t>STOCKHOLMS LÄN</t>
        </is>
      </c>
      <c r="E77" t="inlineStr">
        <is>
          <t>HANINGE</t>
        </is>
      </c>
      <c r="G77" t="n">
        <v>2.5</v>
      </c>
      <c r="H77" t="n">
        <v>0</v>
      </c>
      <c r="I77" t="n">
        <v>0</v>
      </c>
      <c r="J77" t="n">
        <v>0</v>
      </c>
      <c r="K77" t="n">
        <v>0</v>
      </c>
      <c r="L77" t="n">
        <v>0</v>
      </c>
      <c r="M77" t="n">
        <v>0</v>
      </c>
      <c r="N77" t="n">
        <v>0</v>
      </c>
      <c r="O77" t="n">
        <v>0</v>
      </c>
      <c r="P77" t="n">
        <v>0</v>
      </c>
      <c r="Q77" t="n">
        <v>0</v>
      </c>
      <c r="R77" s="2" t="inlineStr"/>
    </row>
    <row r="78" ht="15" customHeight="1">
      <c r="A78" t="inlineStr">
        <is>
          <t>A 24115-2025</t>
        </is>
      </c>
      <c r="B78" s="1" t="n">
        <v>45796.61494212963</v>
      </c>
      <c r="C78" s="1" t="n">
        <v>45891</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24191-2025</t>
        </is>
      </c>
      <c r="B79" s="1" t="n">
        <v>45796.86738425926</v>
      </c>
      <c r="C79" s="1" t="n">
        <v>45891</v>
      </c>
      <c r="D79" t="inlineStr">
        <is>
          <t>STOCKHOLMS LÄN</t>
        </is>
      </c>
      <c r="E79" t="inlineStr">
        <is>
          <t>HANINGE</t>
        </is>
      </c>
      <c r="G79" t="n">
        <v>2.8</v>
      </c>
      <c r="H79" t="n">
        <v>0</v>
      </c>
      <c r="I79" t="n">
        <v>0</v>
      </c>
      <c r="J79" t="n">
        <v>0</v>
      </c>
      <c r="K79" t="n">
        <v>0</v>
      </c>
      <c r="L79" t="n">
        <v>0</v>
      </c>
      <c r="M79" t="n">
        <v>0</v>
      </c>
      <c r="N79" t="n">
        <v>0</v>
      </c>
      <c r="O79" t="n">
        <v>0</v>
      </c>
      <c r="P79" t="n">
        <v>0</v>
      </c>
      <c r="Q79" t="n">
        <v>0</v>
      </c>
      <c r="R79" s="2" t="inlineStr"/>
    </row>
    <row r="80" ht="15" customHeight="1">
      <c r="A80" t="inlineStr">
        <is>
          <t>A 24193-2025</t>
        </is>
      </c>
      <c r="B80" s="1" t="n">
        <v>45796.89591435185</v>
      </c>
      <c r="C80" s="1" t="n">
        <v>45891</v>
      </c>
      <c r="D80" t="inlineStr">
        <is>
          <t>STOCKHOLMS LÄN</t>
        </is>
      </c>
      <c r="E80" t="inlineStr">
        <is>
          <t>HANINGE</t>
        </is>
      </c>
      <c r="G80" t="n">
        <v>0.4</v>
      </c>
      <c r="H80" t="n">
        <v>0</v>
      </c>
      <c r="I80" t="n">
        <v>0</v>
      </c>
      <c r="J80" t="n">
        <v>0</v>
      </c>
      <c r="K80" t="n">
        <v>0</v>
      </c>
      <c r="L80" t="n">
        <v>0</v>
      </c>
      <c r="M80" t="n">
        <v>0</v>
      </c>
      <c r="N80" t="n">
        <v>0</v>
      </c>
      <c r="O80" t="n">
        <v>0</v>
      </c>
      <c r="P80" t="n">
        <v>0</v>
      </c>
      <c r="Q80" t="n">
        <v>0</v>
      </c>
      <c r="R80" s="2" t="inlineStr"/>
    </row>
    <row r="81" ht="15" customHeight="1">
      <c r="A81" t="inlineStr">
        <is>
          <t>A 64075-2023</t>
        </is>
      </c>
      <c r="B81" s="1" t="n">
        <v>45279</v>
      </c>
      <c r="C81" s="1" t="n">
        <v>45891</v>
      </c>
      <c r="D81" t="inlineStr">
        <is>
          <t>STOCKHOLMS LÄN</t>
        </is>
      </c>
      <c r="E81" t="inlineStr">
        <is>
          <t>HANINGE</t>
        </is>
      </c>
      <c r="G81" t="n">
        <v>2.6</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45891</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58599-2023</t>
        </is>
      </c>
      <c r="B83" s="1" t="n">
        <v>45251.47721064815</v>
      </c>
      <c r="C83" s="1" t="n">
        <v>45891</v>
      </c>
      <c r="D83" t="inlineStr">
        <is>
          <t>STOCKHOLMS LÄN</t>
        </is>
      </c>
      <c r="E83" t="inlineStr">
        <is>
          <t>HANINGE</t>
        </is>
      </c>
      <c r="G83" t="n">
        <v>3.2</v>
      </c>
      <c r="H83" t="n">
        <v>0</v>
      </c>
      <c r="I83" t="n">
        <v>0</v>
      </c>
      <c r="J83" t="n">
        <v>0</v>
      </c>
      <c r="K83" t="n">
        <v>0</v>
      </c>
      <c r="L83" t="n">
        <v>0</v>
      </c>
      <c r="M83" t="n">
        <v>0</v>
      </c>
      <c r="N83" t="n">
        <v>0</v>
      </c>
      <c r="O83" t="n">
        <v>0</v>
      </c>
      <c r="P83" t="n">
        <v>0</v>
      </c>
      <c r="Q83" t="n">
        <v>0</v>
      </c>
      <c r="R83" s="2" t="inlineStr"/>
    </row>
    <row r="84" ht="15" customHeight="1">
      <c r="A84" t="inlineStr">
        <is>
          <t>A 18528-2024</t>
        </is>
      </c>
      <c r="B84" s="1" t="n">
        <v>45425.61965277778</v>
      </c>
      <c r="C84" s="1" t="n">
        <v>45891</v>
      </c>
      <c r="D84" t="inlineStr">
        <is>
          <t>STOCKHOLMS LÄN</t>
        </is>
      </c>
      <c r="E84" t="inlineStr">
        <is>
          <t>HANINGE</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64548-2020</t>
        </is>
      </c>
      <c r="B85" s="1" t="n">
        <v>44166</v>
      </c>
      <c r="C85" s="1" t="n">
        <v>45891</v>
      </c>
      <c r="D85" t="inlineStr">
        <is>
          <t>STOCKHOLMS LÄN</t>
        </is>
      </c>
      <c r="E85" t="inlineStr">
        <is>
          <t>HANINGE</t>
        </is>
      </c>
      <c r="G85" t="n">
        <v>7.2</v>
      </c>
      <c r="H85" t="n">
        <v>0</v>
      </c>
      <c r="I85" t="n">
        <v>0</v>
      </c>
      <c r="J85" t="n">
        <v>0</v>
      </c>
      <c r="K85" t="n">
        <v>0</v>
      </c>
      <c r="L85" t="n">
        <v>0</v>
      </c>
      <c r="M85" t="n">
        <v>0</v>
      </c>
      <c r="N85" t="n">
        <v>0</v>
      </c>
      <c r="O85" t="n">
        <v>0</v>
      </c>
      <c r="P85" t="n">
        <v>0</v>
      </c>
      <c r="Q85" t="n">
        <v>0</v>
      </c>
      <c r="R85" s="2" t="inlineStr"/>
    </row>
    <row r="86" ht="15" customHeight="1">
      <c r="A86" t="inlineStr">
        <is>
          <t>A 1187-2024</t>
        </is>
      </c>
      <c r="B86" s="1" t="n">
        <v>45302.58045138889</v>
      </c>
      <c r="C86" s="1" t="n">
        <v>45891</v>
      </c>
      <c r="D86" t="inlineStr">
        <is>
          <t>STOCKHOLMS LÄN</t>
        </is>
      </c>
      <c r="E86" t="inlineStr">
        <is>
          <t>HANINGE</t>
        </is>
      </c>
      <c r="G86" t="n">
        <v>1.5</v>
      </c>
      <c r="H86" t="n">
        <v>0</v>
      </c>
      <c r="I86" t="n">
        <v>0</v>
      </c>
      <c r="J86" t="n">
        <v>0</v>
      </c>
      <c r="K86" t="n">
        <v>0</v>
      </c>
      <c r="L86" t="n">
        <v>0</v>
      </c>
      <c r="M86" t="n">
        <v>0</v>
      </c>
      <c r="N86" t="n">
        <v>0</v>
      </c>
      <c r="O86" t="n">
        <v>0</v>
      </c>
      <c r="P86" t="n">
        <v>0</v>
      </c>
      <c r="Q86" t="n">
        <v>0</v>
      </c>
      <c r="R86" s="2" t="inlineStr"/>
    </row>
    <row r="87" ht="15" customHeight="1">
      <c r="A87" t="inlineStr">
        <is>
          <t>A 27596-2025</t>
        </is>
      </c>
      <c r="B87" s="1" t="n">
        <v>45813.52303240741</v>
      </c>
      <c r="C87" s="1" t="n">
        <v>45891</v>
      </c>
      <c r="D87" t="inlineStr">
        <is>
          <t>STOCKHOLMS LÄN</t>
        </is>
      </c>
      <c r="E87" t="inlineStr">
        <is>
          <t>HANINGE</t>
        </is>
      </c>
      <c r="G87" t="n">
        <v>0.1</v>
      </c>
      <c r="H87" t="n">
        <v>0</v>
      </c>
      <c r="I87" t="n">
        <v>0</v>
      </c>
      <c r="J87" t="n">
        <v>0</v>
      </c>
      <c r="K87" t="n">
        <v>0</v>
      </c>
      <c r="L87" t="n">
        <v>0</v>
      </c>
      <c r="M87" t="n">
        <v>0</v>
      </c>
      <c r="N87" t="n">
        <v>0</v>
      </c>
      <c r="O87" t="n">
        <v>0</v>
      </c>
      <c r="P87" t="n">
        <v>0</v>
      </c>
      <c r="Q87" t="n">
        <v>0</v>
      </c>
      <c r="R87" s="2" t="inlineStr"/>
    </row>
    <row r="88" ht="15" customHeight="1">
      <c r="A88" t="inlineStr">
        <is>
          <t>A 1180-2024</t>
        </is>
      </c>
      <c r="B88" s="1" t="n">
        <v>45302</v>
      </c>
      <c r="C88" s="1" t="n">
        <v>45891</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1184-2024</t>
        </is>
      </c>
      <c r="B89" s="1" t="n">
        <v>45302.57663194444</v>
      </c>
      <c r="C89" s="1" t="n">
        <v>45891</v>
      </c>
      <c r="D89" t="inlineStr">
        <is>
          <t>STOCKHOLMS LÄN</t>
        </is>
      </c>
      <c r="E89" t="inlineStr">
        <is>
          <t>HANINGE</t>
        </is>
      </c>
      <c r="G89" t="n">
        <v>3.6</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45891</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45891</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64568-2023</t>
        </is>
      </c>
      <c r="B92" s="1" t="n">
        <v>45281.43164351852</v>
      </c>
      <c r="C92" s="1" t="n">
        <v>45891</v>
      </c>
      <c r="D92" t="inlineStr">
        <is>
          <t>STOCKHOLMS LÄN</t>
        </is>
      </c>
      <c r="E92" t="inlineStr">
        <is>
          <t>HANINGE</t>
        </is>
      </c>
      <c r="G92" t="n">
        <v>3.1</v>
      </c>
      <c r="H92" t="n">
        <v>0</v>
      </c>
      <c r="I92" t="n">
        <v>0</v>
      </c>
      <c r="J92" t="n">
        <v>0</v>
      </c>
      <c r="K92" t="n">
        <v>0</v>
      </c>
      <c r="L92" t="n">
        <v>0</v>
      </c>
      <c r="M92" t="n">
        <v>0</v>
      </c>
      <c r="N92" t="n">
        <v>0</v>
      </c>
      <c r="O92" t="n">
        <v>0</v>
      </c>
      <c r="P92" t="n">
        <v>0</v>
      </c>
      <c r="Q92" t="n">
        <v>0</v>
      </c>
      <c r="R92" s="2" t="inlineStr"/>
    </row>
    <row r="93" ht="15" customHeight="1">
      <c r="A93" t="inlineStr">
        <is>
          <t>A 38595-2021</t>
        </is>
      </c>
      <c r="B93" s="1" t="n">
        <v>44407</v>
      </c>
      <c r="C93" s="1" t="n">
        <v>45891</v>
      </c>
      <c r="D93" t="inlineStr">
        <is>
          <t>STOCKHOLMS LÄN</t>
        </is>
      </c>
      <c r="E93" t="inlineStr">
        <is>
          <t>HANINGE</t>
        </is>
      </c>
      <c r="G93" t="n">
        <v>1.1</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45891</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41809-2021</t>
        </is>
      </c>
      <c r="B95" s="1" t="n">
        <v>44425</v>
      </c>
      <c r="C95" s="1" t="n">
        <v>45891</v>
      </c>
      <c r="D95" t="inlineStr">
        <is>
          <t>STOCKHOLMS LÄN</t>
        </is>
      </c>
      <c r="E95" t="inlineStr">
        <is>
          <t>HANINGE</t>
        </is>
      </c>
      <c r="G95" t="n">
        <v>0.9</v>
      </c>
      <c r="H95" t="n">
        <v>0</v>
      </c>
      <c r="I95" t="n">
        <v>0</v>
      </c>
      <c r="J95" t="n">
        <v>0</v>
      </c>
      <c r="K95" t="n">
        <v>0</v>
      </c>
      <c r="L95" t="n">
        <v>0</v>
      </c>
      <c r="M95" t="n">
        <v>0</v>
      </c>
      <c r="N95" t="n">
        <v>0</v>
      </c>
      <c r="O95" t="n">
        <v>0</v>
      </c>
      <c r="P95" t="n">
        <v>0</v>
      </c>
      <c r="Q95" t="n">
        <v>0</v>
      </c>
      <c r="R95" s="2" t="inlineStr"/>
    </row>
    <row r="96" ht="15" customHeight="1">
      <c r="A96" t="inlineStr">
        <is>
          <t>A 32952-2025</t>
        </is>
      </c>
      <c r="B96" s="1" t="n">
        <v>45839.69278935185</v>
      </c>
      <c r="C96" s="1" t="n">
        <v>45891</v>
      </c>
      <c r="D96" t="inlineStr">
        <is>
          <t>STOCKHOLMS LÄN</t>
        </is>
      </c>
      <c r="E96" t="inlineStr">
        <is>
          <t>HANINGE</t>
        </is>
      </c>
      <c r="G96" t="n">
        <v>1.3</v>
      </c>
      <c r="H96" t="n">
        <v>0</v>
      </c>
      <c r="I96" t="n">
        <v>0</v>
      </c>
      <c r="J96" t="n">
        <v>0</v>
      </c>
      <c r="K96" t="n">
        <v>0</v>
      </c>
      <c r="L96" t="n">
        <v>0</v>
      </c>
      <c r="M96" t="n">
        <v>0</v>
      </c>
      <c r="N96" t="n">
        <v>0</v>
      </c>
      <c r="O96" t="n">
        <v>0</v>
      </c>
      <c r="P96" t="n">
        <v>0</v>
      </c>
      <c r="Q96" t="n">
        <v>0</v>
      </c>
      <c r="R96" s="2" t="inlineStr"/>
    </row>
    <row r="97" ht="15" customHeight="1">
      <c r="A97" t="inlineStr">
        <is>
          <t>A 32954-2025</t>
        </is>
      </c>
      <c r="B97" s="1" t="n">
        <v>45839.70034722222</v>
      </c>
      <c r="C97" s="1" t="n">
        <v>45891</v>
      </c>
      <c r="D97" t="inlineStr">
        <is>
          <t>STOCKHOLMS LÄN</t>
        </is>
      </c>
      <c r="E97" t="inlineStr">
        <is>
          <t>HANINGE</t>
        </is>
      </c>
      <c r="G97" t="n">
        <v>1.6</v>
      </c>
      <c r="H97" t="n">
        <v>0</v>
      </c>
      <c r="I97" t="n">
        <v>0</v>
      </c>
      <c r="J97" t="n">
        <v>0</v>
      </c>
      <c r="K97" t="n">
        <v>0</v>
      </c>
      <c r="L97" t="n">
        <v>0</v>
      </c>
      <c r="M97" t="n">
        <v>0</v>
      </c>
      <c r="N97" t="n">
        <v>0</v>
      </c>
      <c r="O97" t="n">
        <v>0</v>
      </c>
      <c r="P97" t="n">
        <v>0</v>
      </c>
      <c r="Q97" t="n">
        <v>0</v>
      </c>
      <c r="R97" s="2" t="inlineStr"/>
    </row>
    <row r="98" ht="15" customHeight="1">
      <c r="A98" t="inlineStr">
        <is>
          <t>A 68894-2021</t>
        </is>
      </c>
      <c r="B98" s="1" t="n">
        <v>44526</v>
      </c>
      <c r="C98" s="1" t="n">
        <v>45891</v>
      </c>
      <c r="D98" t="inlineStr">
        <is>
          <t>STOCKHOLMS LÄN</t>
        </is>
      </c>
      <c r="E98" t="inlineStr">
        <is>
          <t>HANINGE</t>
        </is>
      </c>
      <c r="G98" t="n">
        <v>1.2</v>
      </c>
      <c r="H98" t="n">
        <v>0</v>
      </c>
      <c r="I98" t="n">
        <v>0</v>
      </c>
      <c r="J98" t="n">
        <v>0</v>
      </c>
      <c r="K98" t="n">
        <v>0</v>
      </c>
      <c r="L98" t="n">
        <v>0</v>
      </c>
      <c r="M98" t="n">
        <v>0</v>
      </c>
      <c r="N98" t="n">
        <v>0</v>
      </c>
      <c r="O98" t="n">
        <v>0</v>
      </c>
      <c r="P98" t="n">
        <v>0</v>
      </c>
      <c r="Q98" t="n">
        <v>0</v>
      </c>
      <c r="R98" s="2" t="inlineStr"/>
    </row>
    <row r="99" ht="15" customHeight="1">
      <c r="A99" t="inlineStr">
        <is>
          <t>A 38880-2025</t>
        </is>
      </c>
      <c r="B99" s="1" t="n">
        <v>45887.57966435186</v>
      </c>
      <c r="C99" s="1" t="n">
        <v>45891</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32948-2025</t>
        </is>
      </c>
      <c r="B100" s="1" t="n">
        <v>45839</v>
      </c>
      <c r="C100" s="1" t="n">
        <v>45891</v>
      </c>
      <c r="D100" t="inlineStr">
        <is>
          <t>STOCKHOLMS LÄN</t>
        </is>
      </c>
      <c r="E100" t="inlineStr">
        <is>
          <t>HANINGE</t>
        </is>
      </c>
      <c r="G100" t="n">
        <v>1.1</v>
      </c>
      <c r="H100" t="n">
        <v>0</v>
      </c>
      <c r="I100" t="n">
        <v>0</v>
      </c>
      <c r="J100" t="n">
        <v>0</v>
      </c>
      <c r="K100" t="n">
        <v>0</v>
      </c>
      <c r="L100" t="n">
        <v>0</v>
      </c>
      <c r="M100" t="n">
        <v>0</v>
      </c>
      <c r="N100" t="n">
        <v>0</v>
      </c>
      <c r="O100" t="n">
        <v>0</v>
      </c>
      <c r="P100" t="n">
        <v>0</v>
      </c>
      <c r="Q100" t="n">
        <v>0</v>
      </c>
      <c r="R100" s="2" t="inlineStr"/>
    </row>
    <row r="101" ht="15" customHeight="1">
      <c r="A101" t="inlineStr">
        <is>
          <t>A 13046-2022</t>
        </is>
      </c>
      <c r="B101" s="1" t="n">
        <v>44643</v>
      </c>
      <c r="C101" s="1" t="n">
        <v>45891</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8078-2024</t>
        </is>
      </c>
      <c r="B102" s="1" t="n">
        <v>45351.43737268518</v>
      </c>
      <c r="C102" s="1" t="n">
        <v>45891</v>
      </c>
      <c r="D102" t="inlineStr">
        <is>
          <t>STOCKHOLMS LÄN</t>
        </is>
      </c>
      <c r="E102" t="inlineStr">
        <is>
          <t>HANINGE</t>
        </is>
      </c>
      <c r="F102" t="inlineStr">
        <is>
          <t>Kommuner</t>
        </is>
      </c>
      <c r="G102" t="n">
        <v>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2025-08-22T08:29:06Z</dcterms:created>
  <dcterms:modified xmlns:dcterms="http://purl.org/dc/terms/" xmlns:xsi="http://www.w3.org/2001/XMLSchema-instance" xsi:type="dcterms:W3CDTF">2025-08-22T08:29:07Z</dcterms:modified>
</cp:coreProperties>
</file>