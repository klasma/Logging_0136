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46324</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46324</v>
      </c>
      <c r="F3" t="inlineStr">
        <is>
          <t>STOCKHOLMS LÄN</t>
        </is>
      </c>
      <c r="G3" t="inlineStr">
        <is>
          <t>HANINGE</t>
        </is>
      </c>
      <c r="I3" t="n">
        <v>19.9</v>
      </c>
      <c r="J3" t="n">
        <v>23</v>
      </c>
      <c r="K3" t="n">
        <v>21</v>
      </c>
      <c r="L3" t="n">
        <v>20</v>
      </c>
      <c r="M3" t="n">
        <v>8</v>
      </c>
      <c r="N3" t="n">
        <v>0</v>
      </c>
      <c r="O3" t="n">
        <v>0</v>
      </c>
      <c r="P3" t="n">
        <v>0</v>
      </c>
      <c r="Q3" t="n">
        <v>28</v>
      </c>
      <c r="R3" t="n">
        <v>8</v>
      </c>
      <c r="S3" t="n">
        <v>66</v>
      </c>
      <c r="T3" t="n">
        <v>303</v>
      </c>
      <c r="U3" t="n">
        <v>168</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46324</v>
      </c>
      <c r="F4" t="inlineStr">
        <is>
          <t>STOCKHOLMS LÄN</t>
        </is>
      </c>
      <c r="G4" t="inlineStr">
        <is>
          <t>HANINGE</t>
        </is>
      </c>
      <c r="I4" t="n">
        <v>19.8</v>
      </c>
      <c r="J4" t="n">
        <v>22</v>
      </c>
      <c r="K4" t="n">
        <v>21</v>
      </c>
      <c r="L4" t="n">
        <v>18</v>
      </c>
      <c r="M4" t="n">
        <v>7</v>
      </c>
      <c r="N4" t="n">
        <v>0</v>
      </c>
      <c r="O4" t="n">
        <v>0</v>
      </c>
      <c r="P4" t="n">
        <v>0</v>
      </c>
      <c r="Q4" t="n">
        <v>25</v>
      </c>
      <c r="R4" t="n">
        <v>7</v>
      </c>
      <c r="S4" t="n">
        <v>60</v>
      </c>
      <c r="T4" t="n">
        <v>305</v>
      </c>
      <c r="U4" t="n">
        <v>214</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46324</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46324</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46324</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46324</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46324</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46324</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46324</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46324</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46324</v>
      </c>
      <c r="F13" t="inlineStr">
        <is>
          <t>STOCKHOLMS LÄN</t>
        </is>
      </c>
      <c r="G13" t="inlineStr">
        <is>
          <t>HANINGE</t>
        </is>
      </c>
      <c r="I13" t="n">
        <v>1.7</v>
      </c>
      <c r="J13" t="n">
        <v>6</v>
      </c>
      <c r="K13" t="n">
        <v>6</v>
      </c>
      <c r="L13" t="n">
        <v>5</v>
      </c>
      <c r="M13" t="n">
        <v>1</v>
      </c>
      <c r="N13" t="n">
        <v>0</v>
      </c>
      <c r="O13" t="n">
        <v>0</v>
      </c>
      <c r="P13" t="n">
        <v>0</v>
      </c>
      <c r="Q13" t="n">
        <v>6</v>
      </c>
      <c r="R13" t="n">
        <v>1</v>
      </c>
      <c r="S13" t="n">
        <v>18</v>
      </c>
      <c r="T13" t="n">
        <v>32</v>
      </c>
      <c r="U13" t="n">
        <v>30</v>
      </c>
      <c r="V13" s="2" t="inlineStr">
        <is>
          <t>Rotfingersvamp
Dropptaggsvamp
Motaggsvamp
Tallkötticka
Talltita
Ullticka
Blåmossa
Grön sköldmossa
Grönpyrola
Kornknutmossa
Mindre märgborre
Vedticka
Ekbräken
Hultbräken
Spillkråka
Tofsmes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46324</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46324</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28861-2026</t>
        </is>
      </c>
      <c r="B16" t="inlineStr">
        <is>
          <t>avverkningsanmälan</t>
        </is>
      </c>
      <c r="C16" t="inlineStr">
        <is>
          <t>Avverkning för annat ändamål</t>
        </is>
      </c>
      <c r="D16" s="1" t="n">
        <v>46199</v>
      </c>
      <c r="E16" s="1" t="n">
        <v>46324</v>
      </c>
      <c r="F16" t="inlineStr">
        <is>
          <t>STOCKHOLMS LÄN</t>
        </is>
      </c>
      <c r="G16" t="inlineStr">
        <is>
          <t>HANINGE</t>
        </is>
      </c>
      <c r="I16" t="n">
        <v>1.3</v>
      </c>
      <c r="J16" t="n">
        <v>2</v>
      </c>
      <c r="K16" t="n">
        <v>1</v>
      </c>
      <c r="L16" t="n">
        <v>4</v>
      </c>
      <c r="M16" t="n">
        <v>0</v>
      </c>
      <c r="N16" t="n">
        <v>0</v>
      </c>
      <c r="O16" t="n">
        <v>0</v>
      </c>
      <c r="P16" t="n">
        <v>0</v>
      </c>
      <c r="Q16" t="n">
        <v>4</v>
      </c>
      <c r="R16" t="n">
        <v>0</v>
      </c>
      <c r="S16" t="n">
        <v>6</v>
      </c>
      <c r="T16" t="n">
        <v>7</v>
      </c>
      <c r="U16" t="n">
        <v>6</v>
      </c>
      <c r="V16" s="2" t="inlineStr">
        <is>
          <t>Motaggsvamp
Skogshare
Tallticka
Talltita
Grovticka
Nattskärra</t>
        </is>
      </c>
      <c r="W16">
        <f>HYPERLINK("https://klasma.github.io/Logging_0136/artfynd/A 28861-2026 artfynd.xlsx", "A 28861-2026")</f>
        <v/>
      </c>
      <c r="X16">
        <f>HYPERLINK("https://klasma.github.io/Logging_0136/kartor/A 28861-2026 karta.png", "A 28861-2026")</f>
        <v/>
      </c>
      <c r="Y16">
        <f>HYPERLINK("https://klasma.github.io/Logging_0136/kartor_geotiff/A 28861-2026 georefererad karta.tif", "A 28861-2026")</f>
        <v/>
      </c>
      <c r="AA16">
        <f>HYPERLINK("https://klasma.github.io/Logging_0136/klagomål/A 28861-2026 FSC-klagomål.docx", "A 28861-2026")</f>
        <v/>
      </c>
      <c r="AB16">
        <f>HYPERLINK("https://klasma.github.io/Logging_0136/klagomålsmail/A 28861-2026 FSC-klagomål mail.docx", "A 28861-2026")</f>
        <v/>
      </c>
      <c r="AC16">
        <f>HYPERLINK("https://klasma.github.io/Logging_0136/tillsyn/A 28861-2026 tillsynsbegäran.docx", "A 28861-2026")</f>
        <v/>
      </c>
      <c r="AD16">
        <f>HYPERLINK("https://klasma.github.io/Logging_0136/tillsynsmail/A 28861-2026 tillsynsbegäran mail.docx", "A 28861-2026")</f>
        <v/>
      </c>
      <c r="AE16">
        <f>HYPERLINK("https://klasma.github.io/Logging_0136/fåglar/A 28861-2026 prioriterade fågelarter.docx", "A 28861-2026")</f>
        <v/>
      </c>
    </row>
    <row r="17" ht="15" customHeight="1">
      <c r="A17" t="inlineStr">
        <is>
          <t>A 47707-2023</t>
        </is>
      </c>
      <c r="B17" t="inlineStr">
        <is>
          <t>avverkningsanmälan</t>
        </is>
      </c>
      <c r="C17" t="inlineStr">
        <is>
          <t>Föryngringsavverkning</t>
        </is>
      </c>
      <c r="D17" s="1" t="n">
        <v>45203</v>
      </c>
      <c r="E17" s="1" t="n">
        <v>46324</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14729-2023</t>
        </is>
      </c>
      <c r="B18" t="inlineStr">
        <is>
          <t>avverkningsanmälan</t>
        </is>
      </c>
      <c r="C18" t="inlineStr">
        <is>
          <t>Föryngringsavverkning</t>
        </is>
      </c>
      <c r="D18" s="1" t="n">
        <v>45014</v>
      </c>
      <c r="E18" s="1" t="n">
        <v>46324</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46324</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46324</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46324</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46324</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6648-2023</t>
        </is>
      </c>
      <c r="B23" t="inlineStr">
        <is>
          <t>avverkningsanmälan</t>
        </is>
      </c>
      <c r="C23" t="inlineStr">
        <is>
          <t>Föryngringsavverkning</t>
        </is>
      </c>
      <c r="D23" s="1" t="n">
        <v>44966</v>
      </c>
      <c r="E23" s="1" t="n">
        <v>46324</v>
      </c>
      <c r="F23" t="inlineStr">
        <is>
          <t>STOCKHOLMS LÄN</t>
        </is>
      </c>
      <c r="G23" t="inlineStr">
        <is>
          <t>HANINGE</t>
        </is>
      </c>
      <c r="I23" t="n">
        <v>4</v>
      </c>
      <c r="J23" t="n">
        <v>1</v>
      </c>
      <c r="K23" t="n">
        <v>0</v>
      </c>
      <c r="L23" t="n">
        <v>1</v>
      </c>
      <c r="M23" t="n">
        <v>0</v>
      </c>
      <c r="N23" t="n">
        <v>0</v>
      </c>
      <c r="O23" t="n">
        <v>0</v>
      </c>
      <c r="P23" t="n">
        <v>0</v>
      </c>
      <c r="Q23" t="n">
        <v>1</v>
      </c>
      <c r="R23" t="n">
        <v>0</v>
      </c>
      <c r="S23" t="n">
        <v>1</v>
      </c>
      <c r="T23" t="n">
        <v>1</v>
      </c>
      <c r="U23" t="n">
        <v>0</v>
      </c>
      <c r="V23" s="2" t="inlineStr">
        <is>
          <t>Nötkråka</t>
        </is>
      </c>
      <c r="W23">
        <f>HYPERLINK("https://klasma.github.io/Logging_0136/artfynd/A 6648-2023 artfynd.xlsx", "A 6648-2023")</f>
        <v/>
      </c>
      <c r="X23">
        <f>HYPERLINK("https://klasma.github.io/Logging_0136/kartor/A 6648-2023 karta.png", "A 6648-2023")</f>
        <v/>
      </c>
      <c r="Y23">
        <f>HYPERLINK("https://klasma.github.io/Logging_0136/kartor_geotiff/A 6648-2023 georefererad karta.tif", "A 6648-2023")</f>
        <v/>
      </c>
      <c r="AA23">
        <f>HYPERLINK("https://klasma.github.io/Logging_0136/klagomål/A 6648-2023 FSC-klagomål.docx", "A 6648-2023")</f>
        <v/>
      </c>
      <c r="AB23">
        <f>HYPERLINK("https://klasma.github.io/Logging_0136/klagomålsmail/A 6648-2023 FSC-klagomål mail.docx", "A 6648-2023")</f>
        <v/>
      </c>
      <c r="AC23">
        <f>HYPERLINK("https://klasma.github.io/Logging_0136/tillsyn/A 6648-2023 tillsynsbegäran.docx", "A 6648-2023")</f>
        <v/>
      </c>
      <c r="AD23">
        <f>HYPERLINK("https://klasma.github.io/Logging_0136/tillsynsmail/A 6648-2023 tillsynsbegäran mail.docx", "A 6648-2023")</f>
        <v/>
      </c>
      <c r="AE23">
        <f>HYPERLINK("https://klasma.github.io/Logging_0136/fåglar/A 6648-2023 prioriterade fågelarter.docx", "A 6648-2023")</f>
        <v/>
      </c>
    </row>
    <row r="24" ht="15" customHeight="1">
      <c r="A24" t="inlineStr">
        <is>
          <t>A 60369-2023</t>
        </is>
      </c>
      <c r="B24" t="inlineStr">
        <is>
          <t>avverkningsanmälan</t>
        </is>
      </c>
      <c r="C24" t="inlineStr">
        <is>
          <t>Föryngringsavverkning</t>
        </is>
      </c>
      <c r="D24" s="1" t="n">
        <v>45259</v>
      </c>
      <c r="E24" s="1" t="n">
        <v>46324</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32479-2026</t>
        </is>
      </c>
      <c r="B25" t="inlineStr">
        <is>
          <t>avverkningsanmälan</t>
        </is>
      </c>
      <c r="C25" t="inlineStr">
        <is>
          <t>Föryngringsavverkning</t>
        </is>
      </c>
      <c r="D25" s="1" t="n">
        <v>46239</v>
      </c>
      <c r="E25" s="1" t="n">
        <v>46324</v>
      </c>
      <c r="F25" t="inlineStr">
        <is>
          <t>STOCKHOLMS LÄN</t>
        </is>
      </c>
      <c r="G25" t="inlineStr">
        <is>
          <t>HANINGE</t>
        </is>
      </c>
      <c r="I25" t="n">
        <v>6.9</v>
      </c>
      <c r="J25" t="n">
        <v>0</v>
      </c>
      <c r="K25" t="n">
        <v>1</v>
      </c>
      <c r="L25" t="n">
        <v>0</v>
      </c>
      <c r="M25" t="n">
        <v>0</v>
      </c>
      <c r="N25" t="n">
        <v>0</v>
      </c>
      <c r="O25" t="n">
        <v>0</v>
      </c>
      <c r="P25" t="n">
        <v>0</v>
      </c>
      <c r="Q25" t="n">
        <v>0</v>
      </c>
      <c r="R25" t="n">
        <v>0</v>
      </c>
      <c r="S25" t="n">
        <v>1</v>
      </c>
      <c r="T25" t="n">
        <v>1</v>
      </c>
      <c r="U25" t="n">
        <v>0</v>
      </c>
      <c r="V25" s="2" t="inlineStr">
        <is>
          <t>Kambräken</t>
        </is>
      </c>
      <c r="W25">
        <f>HYPERLINK("https://klasma.github.io/Logging_0136/artfynd/A 32479-2026 artfynd.xlsx", "A 32479-2026")</f>
        <v/>
      </c>
      <c r="X25">
        <f>HYPERLINK("https://klasma.github.io/Logging_0136/kartor/A 32479-2026 karta.png", "A 32479-2026")</f>
        <v/>
      </c>
      <c r="Y25">
        <f>HYPERLINK("https://klasma.github.io/Logging_0136/kartor_geotiff/A 32479-2026 georefererad karta.tif", "A 32479-2026")</f>
        <v/>
      </c>
      <c r="AA25">
        <f>HYPERLINK("https://klasma.github.io/Logging_0136/klagomål/A 32479-2026 FSC-klagomål.docx", "A 32479-2026")</f>
        <v/>
      </c>
      <c r="AB25">
        <f>HYPERLINK("https://klasma.github.io/Logging_0136/klagomålsmail/A 32479-2026 FSC-klagomål mail.docx", "A 32479-2026")</f>
        <v/>
      </c>
      <c r="AC25">
        <f>HYPERLINK("https://klasma.github.io/Logging_0136/tillsyn/A 32479-2026 tillsynsbegäran.docx", "A 32479-2026")</f>
        <v/>
      </c>
      <c r="AD25">
        <f>HYPERLINK("https://klasma.github.io/Logging_0136/tillsynsmail/A 32479-2026 tillsynsbegäran mail.docx", "A 32479-2026")</f>
        <v/>
      </c>
    </row>
    <row r="26" ht="15" customHeight="1">
      <c r="A26" t="inlineStr">
        <is>
          <t>A 34823-2022</t>
        </is>
      </c>
      <c r="B26" t="inlineStr">
        <is>
          <t>avverkningsanmälan</t>
        </is>
      </c>
      <c r="C26" t="inlineStr">
        <is>
          <t>Föryngringsavverkning</t>
        </is>
      </c>
      <c r="D26" s="1" t="n">
        <v>44796</v>
      </c>
      <c r="E26" s="1" t="n">
        <v>46324</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41259-2022</t>
        </is>
      </c>
      <c r="B27" t="inlineStr">
        <is>
          <t>avverkningsanmälan</t>
        </is>
      </c>
      <c r="C27" t="inlineStr">
        <is>
          <t>Föryngringsavverkning</t>
        </is>
      </c>
      <c r="D27" s="1" t="n">
        <v>44825</v>
      </c>
      <c r="E27" s="1" t="n">
        <v>46324</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46324</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46324</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46324</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46324</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46324</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5474-2024</t>
        </is>
      </c>
      <c r="B33" t="inlineStr">
        <is>
          <t>avverkningsanmälan</t>
        </is>
      </c>
      <c r="C33" t="inlineStr">
        <is>
          <t>Föryngringsavverkning</t>
        </is>
      </c>
      <c r="D33" s="1" t="n">
        <v>45333</v>
      </c>
      <c r="E33" s="1" t="n">
        <v>46324</v>
      </c>
      <c r="F33" t="inlineStr">
        <is>
          <t>STOCKHOLMS LÄN</t>
        </is>
      </c>
      <c r="G33" t="inlineStr">
        <is>
          <t>HANINGE</t>
        </is>
      </c>
      <c r="H33" t="inlineStr">
        <is>
          <t>Kommuner</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37000-2022</t>
        </is>
      </c>
      <c r="B34" t="inlineStr">
        <is>
          <t>avverkningsanmälan</t>
        </is>
      </c>
      <c r="C34" t="inlineStr">
        <is>
          <t>Föryngringsavverkning</t>
        </is>
      </c>
      <c r="D34" s="1" t="n">
        <v>44806</v>
      </c>
      <c r="E34" s="1" t="n">
        <v>46324</v>
      </c>
      <c r="F34" t="inlineStr">
        <is>
          <t>STOCKHOLMS LÄN</t>
        </is>
      </c>
      <c r="G34" t="inlineStr">
        <is>
          <t>HANINGE</t>
        </is>
      </c>
      <c r="H34" t="inlineStr">
        <is>
          <t>Övriga statliga verk och myndigheter</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13135-2022</t>
        </is>
      </c>
      <c r="B35" t="inlineStr">
        <is>
          <t>avverkningsanmälan</t>
        </is>
      </c>
      <c r="C35" t="inlineStr">
        <is>
          <t>Föryngringsavverkning</t>
        </is>
      </c>
      <c r="D35" s="1" t="n">
        <v>44643</v>
      </c>
      <c r="E35" s="1" t="n">
        <v>46324</v>
      </c>
      <c r="F35" t="inlineStr">
        <is>
          <t>STOCKHOLMS LÄN</t>
        </is>
      </c>
      <c r="G35" t="inlineStr">
        <is>
          <t>HANINGE</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30419-2022</t>
        </is>
      </c>
      <c r="B36" t="inlineStr">
        <is>
          <t>avverkningsanmälan</t>
        </is>
      </c>
      <c r="C36" t="inlineStr">
        <is>
          <t>Föryngringsavverkning</t>
        </is>
      </c>
      <c r="D36" s="1" t="n">
        <v>44761</v>
      </c>
      <c r="E36" s="1" t="n">
        <v>46324</v>
      </c>
      <c r="F36" t="inlineStr">
        <is>
          <t>STOCKHOLMS LÄN</t>
        </is>
      </c>
      <c r="G36" t="inlineStr">
        <is>
          <t>HANINGE</t>
        </is>
      </c>
      <c r="I36" t="n">
        <v>7.4</v>
      </c>
      <c r="J36" t="n">
        <v>0</v>
      </c>
      <c r="K36" t="n">
        <v>0</v>
      </c>
      <c r="L36" t="n">
        <v>0</v>
      </c>
      <c r="M36" t="n">
        <v>0</v>
      </c>
      <c r="N36" t="n">
        <v>0</v>
      </c>
      <c r="O36" t="n">
        <v>0</v>
      </c>
      <c r="P36" t="n">
        <v>0</v>
      </c>
      <c r="Q36" t="n">
        <v>0</v>
      </c>
      <c r="R36" t="n">
        <v>0</v>
      </c>
      <c r="S36" t="n">
        <v>0</v>
      </c>
      <c r="T36" t="n">
        <v>0</v>
      </c>
      <c r="U36" t="n">
        <v>0</v>
      </c>
      <c r="V36" s="2" t="inlineStr"/>
    </row>
    <row r="37" ht="15" customHeight="1">
      <c r="A37" t="inlineStr">
        <is>
          <t>A 23666-2024</t>
        </is>
      </c>
      <c r="B37" t="inlineStr">
        <is>
          <t>avverkningsanmälan</t>
        </is>
      </c>
      <c r="C37" t="inlineStr">
        <is>
          <t>Föryngringsavverkning</t>
        </is>
      </c>
      <c r="D37" s="1" t="n">
        <v>45454</v>
      </c>
      <c r="E37" s="1" t="n">
        <v>46324</v>
      </c>
      <c r="F37" t="inlineStr">
        <is>
          <t>STOCKHOLMS LÄN</t>
        </is>
      </c>
      <c r="G37" t="inlineStr">
        <is>
          <t>HANINGE</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68896-2021</t>
        </is>
      </c>
      <c r="B38" t="inlineStr">
        <is>
          <t>avverkningsanmälan</t>
        </is>
      </c>
      <c r="C38" t="inlineStr">
        <is>
          <t>Föryngringsavverkning</t>
        </is>
      </c>
      <c r="D38" s="1" t="n">
        <v>44526</v>
      </c>
      <c r="E38" s="1" t="n">
        <v>46324</v>
      </c>
      <c r="F38" t="inlineStr">
        <is>
          <t>STOCKHOLMS LÄN</t>
        </is>
      </c>
      <c r="G38" t="inlineStr">
        <is>
          <t>HANINGE</t>
        </is>
      </c>
      <c r="I38" t="n">
        <v>3.4</v>
      </c>
      <c r="J38" t="n">
        <v>0</v>
      </c>
      <c r="K38" t="n">
        <v>0</v>
      </c>
      <c r="L38" t="n">
        <v>0</v>
      </c>
      <c r="M38" t="n">
        <v>0</v>
      </c>
      <c r="N38" t="n">
        <v>0</v>
      </c>
      <c r="O38" t="n">
        <v>0</v>
      </c>
      <c r="P38" t="n">
        <v>0</v>
      </c>
      <c r="Q38" t="n">
        <v>0</v>
      </c>
      <c r="R38" t="n">
        <v>0</v>
      </c>
      <c r="S38" t="n">
        <v>0</v>
      </c>
      <c r="T38" t="n">
        <v>0</v>
      </c>
      <c r="U38" t="n">
        <v>0</v>
      </c>
      <c r="V38" s="2" t="inlineStr"/>
    </row>
    <row r="39" ht="15" customHeight="1">
      <c r="A39" t="inlineStr">
        <is>
          <t>A 4297-2024</t>
        </is>
      </c>
      <c r="B39" t="inlineStr">
        <is>
          <t>avverkningsanmälan</t>
        </is>
      </c>
      <c r="C39" t="inlineStr">
        <is>
          <t>Föryngringsavverkning</t>
        </is>
      </c>
      <c r="D39" s="1" t="n">
        <v>45324</v>
      </c>
      <c r="E39" s="1" t="n">
        <v>46324</v>
      </c>
      <c r="F39" t="inlineStr">
        <is>
          <t>STOCKHOLMS LÄN</t>
        </is>
      </c>
      <c r="G39" t="inlineStr">
        <is>
          <t>HANINGE</t>
        </is>
      </c>
      <c r="H39" t="inlineStr">
        <is>
          <t>Kommuner</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24193-2025</t>
        </is>
      </c>
      <c r="B40" t="inlineStr">
        <is>
          <t>avverkningsanmälan</t>
        </is>
      </c>
      <c r="C40" t="inlineStr">
        <is>
          <t>Föryngringsavverkning</t>
        </is>
      </c>
      <c r="D40" s="1" t="n">
        <v>45796</v>
      </c>
      <c r="E40" s="1" t="n">
        <v>46324</v>
      </c>
      <c r="F40" t="inlineStr">
        <is>
          <t>STOCKHOLMS LÄN</t>
        </is>
      </c>
      <c r="G40" t="inlineStr">
        <is>
          <t>HANINGE</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64075-2023</t>
        </is>
      </c>
      <c r="B41" t="inlineStr">
        <is>
          <t>avverkningsanmälan</t>
        </is>
      </c>
      <c r="C41" t="inlineStr">
        <is>
          <t>Föryngringsavverkning</t>
        </is>
      </c>
      <c r="D41" s="1" t="n">
        <v>45279</v>
      </c>
      <c r="E41" s="1" t="n">
        <v>46324</v>
      </c>
      <c r="F41" t="inlineStr">
        <is>
          <t>STOCKHOLMS LÄN</t>
        </is>
      </c>
      <c r="G41" t="inlineStr">
        <is>
          <t>HANINGE</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9946-2024</t>
        </is>
      </c>
      <c r="B42" t="inlineStr">
        <is>
          <t>avverkningsanmälan</t>
        </is>
      </c>
      <c r="C42" t="inlineStr">
        <is>
          <t>Föryngringsavverkning</t>
        </is>
      </c>
      <c r="D42" s="1" t="n">
        <v>45363</v>
      </c>
      <c r="E42" s="1" t="n">
        <v>46324</v>
      </c>
      <c r="F42" t="inlineStr">
        <is>
          <t>STOCKHOLMS LÄN</t>
        </is>
      </c>
      <c r="G42" t="inlineStr">
        <is>
          <t>HANINGE</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27596-2025</t>
        </is>
      </c>
      <c r="B43" t="inlineStr">
        <is>
          <t>avverkningsanmälan</t>
        </is>
      </c>
      <c r="C43" t="inlineStr">
        <is>
          <t>Avverkning för att bevara och utveckla /försöksver</t>
        </is>
      </c>
      <c r="D43" s="1" t="n">
        <v>45813</v>
      </c>
      <c r="E43" s="1" t="n">
        <v>46324</v>
      </c>
      <c r="F43" t="inlineStr">
        <is>
          <t>STOCKHOLMS LÄN</t>
        </is>
      </c>
      <c r="G43" t="inlineStr">
        <is>
          <t>HANINGE</t>
        </is>
      </c>
      <c r="I43" t="n">
        <v>0.1</v>
      </c>
      <c r="J43" t="n">
        <v>0</v>
      </c>
      <c r="K43" t="n">
        <v>0</v>
      </c>
      <c r="L43" t="n">
        <v>0</v>
      </c>
      <c r="M43" t="n">
        <v>0</v>
      </c>
      <c r="N43" t="n">
        <v>0</v>
      </c>
      <c r="O43" t="n">
        <v>0</v>
      </c>
      <c r="P43" t="n">
        <v>0</v>
      </c>
      <c r="Q43" t="n">
        <v>0</v>
      </c>
      <c r="R43" t="n">
        <v>0</v>
      </c>
      <c r="S43" t="n">
        <v>0</v>
      </c>
      <c r="T43" t="n">
        <v>0</v>
      </c>
      <c r="U43" t="n">
        <v>0</v>
      </c>
      <c r="V43" s="2" t="inlineStr"/>
    </row>
    <row r="44" ht="15" customHeight="1">
      <c r="A44" t="inlineStr">
        <is>
          <t>A 33792-2023</t>
        </is>
      </c>
      <c r="B44" t="inlineStr">
        <is>
          <t>avverkningsanmälan</t>
        </is>
      </c>
      <c r="C44" t="inlineStr">
        <is>
          <t>Föryngringsavverkning</t>
        </is>
      </c>
      <c r="D44" s="1" t="n">
        <v>45121</v>
      </c>
      <c r="E44" s="1" t="n">
        <v>46324</v>
      </c>
      <c r="F44" t="inlineStr">
        <is>
          <t>STOCKHOLMS LÄN</t>
        </is>
      </c>
      <c r="G44" t="inlineStr">
        <is>
          <t>HANINGE</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14900-2025</t>
        </is>
      </c>
      <c r="B45" t="inlineStr">
        <is>
          <t>avverkningsanmälan</t>
        </is>
      </c>
      <c r="C45" t="inlineStr">
        <is>
          <t>Föryngringsavverkning</t>
        </is>
      </c>
      <c r="D45" s="1" t="n">
        <v>45743</v>
      </c>
      <c r="E45" s="1" t="n">
        <v>46324</v>
      </c>
      <c r="F45" t="inlineStr">
        <is>
          <t>STOCKHOLMS LÄN</t>
        </is>
      </c>
      <c r="G45" t="inlineStr">
        <is>
          <t>HANINGE</t>
        </is>
      </c>
      <c r="I45" t="n">
        <v>4.5</v>
      </c>
      <c r="J45" t="n">
        <v>0</v>
      </c>
      <c r="K45" t="n">
        <v>0</v>
      </c>
      <c r="L45" t="n">
        <v>0</v>
      </c>
      <c r="M45" t="n">
        <v>0</v>
      </c>
      <c r="N45" t="n">
        <v>0</v>
      </c>
      <c r="O45" t="n">
        <v>0</v>
      </c>
      <c r="P45" t="n">
        <v>0</v>
      </c>
      <c r="Q45" t="n">
        <v>0</v>
      </c>
      <c r="R45" t="n">
        <v>0</v>
      </c>
      <c r="S45" t="n">
        <v>0</v>
      </c>
      <c r="T45" t="n">
        <v>0</v>
      </c>
      <c r="U45" t="n">
        <v>0</v>
      </c>
      <c r="V45" s="2" t="inlineStr"/>
    </row>
    <row r="46" ht="15" customHeight="1">
      <c r="A46" t="inlineStr">
        <is>
          <t>A 20527-2025</t>
        </is>
      </c>
      <c r="B46" t="inlineStr">
        <is>
          <t>avverkningsanmälan</t>
        </is>
      </c>
      <c r="C46" t="inlineStr">
        <is>
          <t>Föryngringsavverkning</t>
        </is>
      </c>
      <c r="D46" s="1" t="n">
        <v>45775</v>
      </c>
      <c r="E46" s="1" t="n">
        <v>46324</v>
      </c>
      <c r="F46" t="inlineStr">
        <is>
          <t>STOCKHOLMS LÄN</t>
        </is>
      </c>
      <c r="G46" t="inlineStr">
        <is>
          <t>HANINGE</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64568-2023</t>
        </is>
      </c>
      <c r="B47" t="inlineStr">
        <is>
          <t>avverkningsanmälan</t>
        </is>
      </c>
      <c r="C47" t="inlineStr">
        <is>
          <t>Föryngringsavverkning</t>
        </is>
      </c>
      <c r="D47" s="1" t="n">
        <v>45281</v>
      </c>
      <c r="E47" s="1" t="n">
        <v>46324</v>
      </c>
      <c r="F47" t="inlineStr">
        <is>
          <t>STOCKHOLMS LÄN</t>
        </is>
      </c>
      <c r="G47" t="inlineStr">
        <is>
          <t>HANINGE</t>
        </is>
      </c>
      <c r="I47" t="n">
        <v>3.1</v>
      </c>
      <c r="J47" t="n">
        <v>0</v>
      </c>
      <c r="K47" t="n">
        <v>0</v>
      </c>
      <c r="L47" t="n">
        <v>0</v>
      </c>
      <c r="M47" t="n">
        <v>0</v>
      </c>
      <c r="N47" t="n">
        <v>0</v>
      </c>
      <c r="O47" t="n">
        <v>0</v>
      </c>
      <c r="P47" t="n">
        <v>0</v>
      </c>
      <c r="Q47" t="n">
        <v>0</v>
      </c>
      <c r="R47" t="n">
        <v>0</v>
      </c>
      <c r="S47" t="n">
        <v>0</v>
      </c>
      <c r="T47" t="n">
        <v>0</v>
      </c>
      <c r="U47" t="n">
        <v>0</v>
      </c>
      <c r="V47" s="2" t="inlineStr"/>
    </row>
    <row r="48" ht="15" customHeight="1">
      <c r="A48" t="inlineStr">
        <is>
          <t>A 1180-2024</t>
        </is>
      </c>
      <c r="B48" t="inlineStr">
        <is>
          <t>avverkningsanmälan</t>
        </is>
      </c>
      <c r="C48" t="inlineStr">
        <is>
          <t>Föryngringsavverkning</t>
        </is>
      </c>
      <c r="D48" s="1" t="n">
        <v>45302</v>
      </c>
      <c r="E48" s="1" t="n">
        <v>46324</v>
      </c>
      <c r="F48" t="inlineStr">
        <is>
          <t>STOCKHOLMS LÄN</t>
        </is>
      </c>
      <c r="G48" t="inlineStr">
        <is>
          <t>HANINGE</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24873-2023</t>
        </is>
      </c>
      <c r="B49" t="inlineStr">
        <is>
          <t>avverkningsanmälan</t>
        </is>
      </c>
      <c r="C49" t="inlineStr">
        <is>
          <t>Föryngringsavverkning</t>
        </is>
      </c>
      <c r="D49" s="1" t="n">
        <v>45085</v>
      </c>
      <c r="E49" s="1" t="n">
        <v>46324</v>
      </c>
      <c r="F49" t="inlineStr">
        <is>
          <t>STOCKHOLMS LÄN</t>
        </is>
      </c>
      <c r="G49" t="inlineStr">
        <is>
          <t>HANINGE</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58599-2023</t>
        </is>
      </c>
      <c r="B50" t="inlineStr">
        <is>
          <t>avverkningsanmälan</t>
        </is>
      </c>
      <c r="C50" t="inlineStr">
        <is>
          <t>Föryngringsavverkning</t>
        </is>
      </c>
      <c r="D50" s="1" t="n">
        <v>45251</v>
      </c>
      <c r="E50" s="1" t="n">
        <v>46324</v>
      </c>
      <c r="F50" t="inlineStr">
        <is>
          <t>STOCKHOLMS LÄN</t>
        </is>
      </c>
      <c r="G50" t="inlineStr">
        <is>
          <t>HANINGE</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52836-2024</t>
        </is>
      </c>
      <c r="B51" t="inlineStr">
        <is>
          <t>avverkningsanmälan</t>
        </is>
      </c>
      <c r="C51" t="inlineStr">
        <is>
          <t>Föryngringsavverkning</t>
        </is>
      </c>
      <c r="D51" s="1" t="n">
        <v>45610</v>
      </c>
      <c r="E51" s="1" t="n">
        <v>46324</v>
      </c>
      <c r="F51" t="inlineStr">
        <is>
          <t>STOCKHOLMS LÄN</t>
        </is>
      </c>
      <c r="G51" t="inlineStr">
        <is>
          <t>HANINGE</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14264-2025</t>
        </is>
      </c>
      <c r="B52" t="inlineStr">
        <is>
          <t>avverkningsanmälan</t>
        </is>
      </c>
      <c r="C52" t="inlineStr">
        <is>
          <t>Föryngringsavverkning</t>
        </is>
      </c>
      <c r="D52" s="1" t="n">
        <v>45740</v>
      </c>
      <c r="E52" s="1" t="n">
        <v>46324</v>
      </c>
      <c r="F52" t="inlineStr">
        <is>
          <t>STOCKHOLMS LÄN</t>
        </is>
      </c>
      <c r="G52" t="inlineStr">
        <is>
          <t>HANINGE</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8078-2024</t>
        </is>
      </c>
      <c r="B53" t="inlineStr">
        <is>
          <t>avverkningsanmälan</t>
        </is>
      </c>
      <c r="C53" t="inlineStr">
        <is>
          <t>Föryngringsavverkning</t>
        </is>
      </c>
      <c r="D53" s="1" t="n">
        <v>45351</v>
      </c>
      <c r="E53" s="1" t="n">
        <v>46324</v>
      </c>
      <c r="F53" t="inlineStr">
        <is>
          <t>STOCKHOLMS LÄN</t>
        </is>
      </c>
      <c r="G53" t="inlineStr">
        <is>
          <t>HANINGE</t>
        </is>
      </c>
      <c r="H53" t="inlineStr">
        <is>
          <t>Kommuner</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52770-2024</t>
        </is>
      </c>
      <c r="B54" t="inlineStr">
        <is>
          <t>avverkningsanmälan</t>
        </is>
      </c>
      <c r="C54" t="inlineStr">
        <is>
          <t>Föryngringsavverkning</t>
        </is>
      </c>
      <c r="D54" s="1" t="n">
        <v>45610</v>
      </c>
      <c r="E54" s="1" t="n">
        <v>46324</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19220-2023</t>
        </is>
      </c>
      <c r="B55" t="inlineStr">
        <is>
          <t>avverkningsanmälan</t>
        </is>
      </c>
      <c r="C55" t="inlineStr">
        <is>
          <t>Föryngringsavverkning</t>
        </is>
      </c>
      <c r="D55" s="1" t="n">
        <v>45048</v>
      </c>
      <c r="E55" s="1" t="n">
        <v>46324</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25584-2023</t>
        </is>
      </c>
      <c r="B56" t="inlineStr">
        <is>
          <t>avverkningsanmälan</t>
        </is>
      </c>
      <c r="C56" t="inlineStr">
        <is>
          <t>Föryngringsavverkning</t>
        </is>
      </c>
      <c r="D56" s="1" t="n">
        <v>45089</v>
      </c>
      <c r="E56" s="1" t="n">
        <v>46324</v>
      </c>
      <c r="F56" t="inlineStr">
        <is>
          <t>STOCKHOLMS LÄN</t>
        </is>
      </c>
      <c r="G56" t="inlineStr">
        <is>
          <t>HANINGE</t>
        </is>
      </c>
      <c r="I56" t="n">
        <v>4.8</v>
      </c>
      <c r="J56" t="n">
        <v>0</v>
      </c>
      <c r="K56" t="n">
        <v>0</v>
      </c>
      <c r="L56" t="n">
        <v>0</v>
      </c>
      <c r="M56" t="n">
        <v>0</v>
      </c>
      <c r="N56" t="n">
        <v>0</v>
      </c>
      <c r="O56" t="n">
        <v>0</v>
      </c>
      <c r="P56" t="n">
        <v>0</v>
      </c>
      <c r="Q56" t="n">
        <v>0</v>
      </c>
      <c r="R56" t="n">
        <v>0</v>
      </c>
      <c r="S56" t="n">
        <v>0</v>
      </c>
      <c r="T56" t="n">
        <v>0</v>
      </c>
      <c r="U56" t="n">
        <v>0</v>
      </c>
      <c r="V56" s="2" t="inlineStr"/>
    </row>
    <row r="57" ht="15" customHeight="1">
      <c r="A57" t="inlineStr">
        <is>
          <t>A 3156-2025</t>
        </is>
      </c>
      <c r="B57" t="inlineStr">
        <is>
          <t>avverkningsanmälan</t>
        </is>
      </c>
      <c r="C57" t="inlineStr">
        <is>
          <t>Föryngringsavverkning</t>
        </is>
      </c>
      <c r="D57" s="1" t="n">
        <v>45679</v>
      </c>
      <c r="E57" s="1" t="n">
        <v>46324</v>
      </c>
      <c r="F57" t="inlineStr">
        <is>
          <t>STOCKHOLMS LÄN</t>
        </is>
      </c>
      <c r="G57" t="inlineStr">
        <is>
          <t>HANINGE</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17765-2024</t>
        </is>
      </c>
      <c r="B58" t="inlineStr">
        <is>
          <t>avverkningsanmälan</t>
        </is>
      </c>
      <c r="C58" t="inlineStr">
        <is>
          <t>Föryngringsavverkning</t>
        </is>
      </c>
      <c r="D58" s="1" t="n">
        <v>45418</v>
      </c>
      <c r="E58" s="1" t="n">
        <v>46324</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24800-2026</t>
        </is>
      </c>
      <c r="B59" t="inlineStr">
        <is>
          <t>avverkningsanmälan</t>
        </is>
      </c>
      <c r="C59" t="inlineStr">
        <is>
          <t>Föryngringsavverkning</t>
        </is>
      </c>
      <c r="D59" s="1" t="n">
        <v>46171</v>
      </c>
      <c r="E59" s="1" t="n">
        <v>46324</v>
      </c>
      <c r="F59" t="inlineStr">
        <is>
          <t>STOCKHOLMS LÄN</t>
        </is>
      </c>
      <c r="G59" t="inlineStr">
        <is>
          <t>HANINGE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26417-2026</t>
        </is>
      </c>
      <c r="B60" t="inlineStr">
        <is>
          <t>avverkningsanmälan</t>
        </is>
      </c>
      <c r="C60" t="inlineStr">
        <is>
          <t>Föryngringsavverkning</t>
        </is>
      </c>
      <c r="D60" s="1" t="n">
        <v>46183</v>
      </c>
      <c r="E60" s="1" t="n">
        <v>46324</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26886-2026</t>
        </is>
      </c>
      <c r="B61" t="inlineStr">
        <is>
          <t>avverkningsanmälan</t>
        </is>
      </c>
      <c r="C61" t="inlineStr">
        <is>
          <t>Avverkning för annat ändamål</t>
        </is>
      </c>
      <c r="D61" s="1" t="n">
        <v>46185</v>
      </c>
      <c r="E61" s="1" t="n">
        <v>46324</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68894-2021</t>
        </is>
      </c>
      <c r="B62" t="inlineStr">
        <is>
          <t>avverkningsanmälan</t>
        </is>
      </c>
      <c r="C62" t="inlineStr">
        <is>
          <t>Föryngringsavverkning</t>
        </is>
      </c>
      <c r="D62" s="1" t="n">
        <v>44526</v>
      </c>
      <c r="E62" s="1" t="n">
        <v>46324</v>
      </c>
      <c r="F62" t="inlineStr">
        <is>
          <t>STOCKHOLMS LÄN</t>
        </is>
      </c>
      <c r="G62" t="inlineStr">
        <is>
          <t>HANINGE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18491-2025</t>
        </is>
      </c>
      <c r="B63" t="inlineStr">
        <is>
          <t>avverkningsanmälan</t>
        </is>
      </c>
      <c r="C63" t="inlineStr">
        <is>
          <t>Föryngringsavverkning</t>
        </is>
      </c>
      <c r="D63" s="1" t="n">
        <v>45763</v>
      </c>
      <c r="E63" s="1" t="n">
        <v>46324</v>
      </c>
      <c r="F63" t="inlineStr">
        <is>
          <t>STOCKHOLMS LÄN</t>
        </is>
      </c>
      <c r="G63" t="inlineStr">
        <is>
          <t>HANINGE</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13046-2022</t>
        </is>
      </c>
      <c r="B64" t="inlineStr">
        <is>
          <t>avverkningsanmälan</t>
        </is>
      </c>
      <c r="C64" t="inlineStr">
        <is>
          <t>Föryngringsavverkning</t>
        </is>
      </c>
      <c r="D64" s="1" t="n">
        <v>44643</v>
      </c>
      <c r="E64" s="1" t="n">
        <v>46324</v>
      </c>
      <c r="F64" t="inlineStr">
        <is>
          <t>STOCKHOLMS LÄN</t>
        </is>
      </c>
      <c r="G64" t="inlineStr">
        <is>
          <t>HANINGE</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12787-2026</t>
        </is>
      </c>
      <c r="B65" t="inlineStr">
        <is>
          <t>avverkningsanmälan</t>
        </is>
      </c>
      <c r="C65" t="inlineStr">
        <is>
          <t>Föryngringsavverkning</t>
        </is>
      </c>
      <c r="D65" s="1" t="n">
        <v>46091</v>
      </c>
      <c r="E65" s="1" t="n">
        <v>46324</v>
      </c>
      <c r="F65" t="inlineStr">
        <is>
          <t>STOCKHOLMS LÄN</t>
        </is>
      </c>
      <c r="G65" t="inlineStr">
        <is>
          <t>HANINGE</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50306-2023</t>
        </is>
      </c>
      <c r="B66" t="inlineStr">
        <is>
          <t>avverkningsanmälan</t>
        </is>
      </c>
      <c r="C66" t="inlineStr">
        <is>
          <t>Föryngringsavverkning</t>
        </is>
      </c>
      <c r="D66" s="1" t="n">
        <v>45209</v>
      </c>
      <c r="E66" s="1" t="n">
        <v>46324</v>
      </c>
      <c r="F66" t="inlineStr">
        <is>
          <t>STOCKHOLMS LÄN</t>
        </is>
      </c>
      <c r="G66" t="inlineStr">
        <is>
          <t>HANINGE</t>
        </is>
      </c>
      <c r="I66" t="n">
        <v>2.3</v>
      </c>
      <c r="J66" t="n">
        <v>0</v>
      </c>
      <c r="K66" t="n">
        <v>0</v>
      </c>
      <c r="L66" t="n">
        <v>0</v>
      </c>
      <c r="M66" t="n">
        <v>0</v>
      </c>
      <c r="N66" t="n">
        <v>0</v>
      </c>
      <c r="O66" t="n">
        <v>0</v>
      </c>
      <c r="P66" t="n">
        <v>0</v>
      </c>
      <c r="Q66" t="n">
        <v>0</v>
      </c>
      <c r="R66" t="n">
        <v>0</v>
      </c>
      <c r="S66" t="n">
        <v>0</v>
      </c>
      <c r="T66" t="n">
        <v>0</v>
      </c>
      <c r="U66" t="n">
        <v>0</v>
      </c>
      <c r="V66" s="2" t="inlineStr"/>
      <c r="Z66">
        <f>HYPERLINK("https://klasma.github.io/Logging_0136/knärot/A 50306-2023 karta knärot.png", "A 50306-2023")</f>
        <v/>
      </c>
      <c r="AA66">
        <f>HYPERLINK("https://klasma.github.io/Logging_0136/klagomål/A 50306-2023 FSC-klagomål.docx", "A 50306-2023")</f>
        <v/>
      </c>
      <c r="AB66">
        <f>HYPERLINK("https://klasma.github.io/Logging_0136/klagomålsmail/A 50306-2023 FSC-klagomål mail.docx", "A 50306-2023")</f>
        <v/>
      </c>
      <c r="AC66">
        <f>HYPERLINK("https://klasma.github.io/Logging_0136/tillsyn/A 50306-2023 tillsynsbegäran.docx", "A 50306-2023")</f>
        <v/>
      </c>
      <c r="AD66">
        <f>HYPERLINK("https://klasma.github.io/Logging_0136/tillsynsmail/A 50306-2023 tillsynsbegäran mail.docx", "A 50306-2023")</f>
        <v/>
      </c>
    </row>
    <row r="67" ht="15" customHeight="1">
      <c r="A67" t="inlineStr">
        <is>
          <t>A 22288-2023</t>
        </is>
      </c>
      <c r="B67" t="inlineStr">
        <is>
          <t>avverkningsanmälan</t>
        </is>
      </c>
      <c r="C67" t="inlineStr">
        <is>
          <t>Föryngringsavverkning</t>
        </is>
      </c>
      <c r="D67" s="1" t="n">
        <v>45070</v>
      </c>
      <c r="E67" s="1" t="n">
        <v>46324</v>
      </c>
      <c r="F67" t="inlineStr">
        <is>
          <t>STOCKHOLMS LÄN</t>
        </is>
      </c>
      <c r="G67" t="inlineStr">
        <is>
          <t>HANINGE</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32948-2025</t>
        </is>
      </c>
      <c r="B68" t="inlineStr">
        <is>
          <t>avverkningsanmälan</t>
        </is>
      </c>
      <c r="C68" t="inlineStr">
        <is>
          <t>Föryngringsavverkning</t>
        </is>
      </c>
      <c r="D68" s="1" t="n">
        <v>45839</v>
      </c>
      <c r="E68" s="1" t="n">
        <v>46324</v>
      </c>
      <c r="F68" t="inlineStr">
        <is>
          <t>STOCKHOLMS LÄN</t>
        </is>
      </c>
      <c r="G68" t="inlineStr">
        <is>
          <t>HANINGE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32486-2026</t>
        </is>
      </c>
      <c r="B69" t="inlineStr">
        <is>
          <t>avverkningsanmälan</t>
        </is>
      </c>
      <c r="C69" t="inlineStr">
        <is>
          <t>Föryngringsavverkning</t>
        </is>
      </c>
      <c r="D69" s="1" t="n">
        <v>46239</v>
      </c>
      <c r="E69" s="1" t="n">
        <v>46324</v>
      </c>
      <c r="F69" t="inlineStr">
        <is>
          <t>STOCKHOLMS LÄN</t>
        </is>
      </c>
      <c r="G69" t="inlineStr">
        <is>
          <t>HANINGE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48606-2025</t>
        </is>
      </c>
      <c r="B70" t="inlineStr">
        <is>
          <t>avverkningsanmälan</t>
        </is>
      </c>
      <c r="C70" t="inlineStr">
        <is>
          <t>Föryngringsavverkning</t>
        </is>
      </c>
      <c r="D70" s="1" t="n">
        <v>45936</v>
      </c>
      <c r="E70" s="1" t="n">
        <v>46324</v>
      </c>
      <c r="F70" t="inlineStr">
        <is>
          <t>STOCKHOLMS LÄN</t>
        </is>
      </c>
      <c r="G70" t="inlineStr">
        <is>
          <t>HANINGE</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18512-2024</t>
        </is>
      </c>
      <c r="B71" t="inlineStr">
        <is>
          <t>avverkningsanmälan</t>
        </is>
      </c>
      <c r="C71" t="inlineStr">
        <is>
          <t>Föryngringsavverkning</t>
        </is>
      </c>
      <c r="D71" s="1" t="n">
        <v>45425</v>
      </c>
      <c r="E71" s="1" t="n">
        <v>46324</v>
      </c>
      <c r="F71" t="inlineStr">
        <is>
          <t>STOCKHOLMS LÄN</t>
        </is>
      </c>
      <c r="G71" t="inlineStr">
        <is>
          <t>HANINGE</t>
        </is>
      </c>
      <c r="H71" t="inlineStr">
        <is>
          <t>Kommuner</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42392-2026</t>
        </is>
      </c>
      <c r="B72" t="inlineStr">
        <is>
          <t>avverkningsanmälan</t>
        </is>
      </c>
      <c r="C72" t="inlineStr">
        <is>
          <t>Föryngringsavverkning</t>
        </is>
      </c>
      <c r="D72" s="1" t="n">
        <v>46307</v>
      </c>
      <c r="E72" s="1" t="n">
        <v>46324</v>
      </c>
      <c r="F72" t="inlineStr">
        <is>
          <t>STOCKHOLMS LÄN</t>
        </is>
      </c>
      <c r="G72" t="inlineStr">
        <is>
          <t>HANINGE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42952-2026</t>
        </is>
      </c>
      <c r="B73" t="inlineStr">
        <is>
          <t>avverkningsanmälan</t>
        </is>
      </c>
      <c r="C73" t="inlineStr">
        <is>
          <t>Föryngringsavverkning</t>
        </is>
      </c>
      <c r="D73" s="1" t="n">
        <v>46310</v>
      </c>
      <c r="E73" s="1" t="n">
        <v>46324</v>
      </c>
      <c r="F73" t="inlineStr">
        <is>
          <t>STOCKHOLMS LÄN</t>
        </is>
      </c>
      <c r="G73" t="inlineStr">
        <is>
          <t>HANINGE</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42975-2026</t>
        </is>
      </c>
      <c r="B74" t="inlineStr">
        <is>
          <t>avverkningsanmälan</t>
        </is>
      </c>
      <c r="C74" t="inlineStr">
        <is>
          <t>Föryngringsavverkning</t>
        </is>
      </c>
      <c r="D74" s="1" t="n">
        <v>46310</v>
      </c>
      <c r="E74" s="1" t="n">
        <v>46324</v>
      </c>
      <c r="F74" t="inlineStr">
        <is>
          <t>STOCKHOLMS LÄN</t>
        </is>
      </c>
      <c r="G74" t="inlineStr">
        <is>
          <t>HANINGE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18528-2024</t>
        </is>
      </c>
      <c r="B75" t="inlineStr">
        <is>
          <t>avverkningsanmälan</t>
        </is>
      </c>
      <c r="C75" t="inlineStr">
        <is>
          <t>Föryngringsavverkning</t>
        </is>
      </c>
      <c r="D75" s="1" t="n">
        <v>45425</v>
      </c>
      <c r="E75" s="1" t="n">
        <v>46324</v>
      </c>
      <c r="F75" t="inlineStr">
        <is>
          <t>STOCKHOLMS LÄN</t>
        </is>
      </c>
      <c r="G75" t="inlineStr">
        <is>
          <t>HANINGE</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18490-2025</t>
        </is>
      </c>
      <c r="B76" t="inlineStr">
        <is>
          <t>avverkningsanmälan</t>
        </is>
      </c>
      <c r="C76" t="inlineStr">
        <is>
          <t>Föryngringsavverkning</t>
        </is>
      </c>
      <c r="D76" s="1" t="n">
        <v>45763</v>
      </c>
      <c r="E76" s="1" t="n">
        <v>46324</v>
      </c>
      <c r="F76" t="inlineStr">
        <is>
          <t>STOCKHOLMS LÄN</t>
        </is>
      </c>
      <c r="G76" t="inlineStr">
        <is>
          <t>HANINGE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18548-2024</t>
        </is>
      </c>
      <c r="B77" t="inlineStr">
        <is>
          <t>avverkningsanmälan</t>
        </is>
      </c>
      <c r="C77" t="inlineStr">
        <is>
          <t>Föryngringsavverkning</t>
        </is>
      </c>
      <c r="D77" s="1" t="n">
        <v>45425</v>
      </c>
      <c r="E77" s="1" t="n">
        <v>46324</v>
      </c>
      <c r="F77" t="inlineStr">
        <is>
          <t>STOCKHOLMS LÄN</t>
        </is>
      </c>
      <c r="G77" t="inlineStr">
        <is>
          <t>HANINGE</t>
        </is>
      </c>
      <c r="H77" t="inlineStr">
        <is>
          <t>Kommuner</t>
        </is>
      </c>
      <c r="I77" t="n">
        <v>7.3</v>
      </c>
      <c r="J77" t="n">
        <v>0</v>
      </c>
      <c r="K77" t="n">
        <v>0</v>
      </c>
      <c r="L77" t="n">
        <v>0</v>
      </c>
      <c r="M77" t="n">
        <v>0</v>
      </c>
      <c r="N77" t="n">
        <v>0</v>
      </c>
      <c r="O77" t="n">
        <v>0</v>
      </c>
      <c r="P77" t="n">
        <v>0</v>
      </c>
      <c r="Q77" t="n">
        <v>0</v>
      </c>
      <c r="R77" t="n">
        <v>0</v>
      </c>
      <c r="S77" t="n">
        <v>0</v>
      </c>
      <c r="T77" t="n">
        <v>0</v>
      </c>
      <c r="U77" t="n">
        <v>0</v>
      </c>
      <c r="V77" s="2" t="inlineStr"/>
    </row>
    <row r="78" ht="15" customHeight="1">
      <c r="A78" t="inlineStr">
        <is>
          <t>A 20839-2024</t>
        </is>
      </c>
      <c r="B78" t="inlineStr">
        <is>
          <t>avverkningsanmälan</t>
        </is>
      </c>
      <c r="C78" t="inlineStr">
        <is>
          <t>Föryngringsavverkning</t>
        </is>
      </c>
      <c r="D78" s="1" t="n">
        <v>45439</v>
      </c>
      <c r="E78" s="1" t="n">
        <v>46324</v>
      </c>
      <c r="F78" t="inlineStr">
        <is>
          <t>STOCKHOLMS LÄN</t>
        </is>
      </c>
      <c r="G78" t="inlineStr">
        <is>
          <t>HANINGE</t>
        </is>
      </c>
      <c r="I78" t="n">
        <v>8.4</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46324</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2026-10-29T03:15:36Z</dcterms:created>
  <dcterms:modified xmlns:dcterms="http://purl.org/dc/terms/" xmlns:xsi="http://www.w3.org/2001/XMLSchema-instance" xsi:type="dcterms:W3CDTF">2026-10-29T03:15:36Z</dcterms:modified>
</cp:coreProperties>
</file>