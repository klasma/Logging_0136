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46316</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46316</v>
      </c>
      <c r="F3" t="inlineStr">
        <is>
          <t>STOCKHOLMS LÄN</t>
        </is>
      </c>
      <c r="G3" t="inlineStr">
        <is>
          <t>HANINGE</t>
        </is>
      </c>
      <c r="I3" t="n">
        <v>19.9</v>
      </c>
      <c r="J3" t="n">
        <v>23</v>
      </c>
      <c r="K3" t="n">
        <v>21</v>
      </c>
      <c r="L3" t="n">
        <v>19</v>
      </c>
      <c r="M3" t="n">
        <v>8</v>
      </c>
      <c r="N3" t="n">
        <v>0</v>
      </c>
      <c r="O3" t="n">
        <v>0</v>
      </c>
      <c r="P3" t="n">
        <v>0</v>
      </c>
      <c r="Q3" t="n">
        <v>27</v>
      </c>
      <c r="R3" t="n">
        <v>8</v>
      </c>
      <c r="S3" t="n">
        <v>65</v>
      </c>
      <c r="T3" t="n">
        <v>296</v>
      </c>
      <c r="U3" t="n">
        <v>161</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46316</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46316</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46316</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46316</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46316</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46316</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46316</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46316</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46316</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46316</v>
      </c>
      <c r="F13" t="inlineStr">
        <is>
          <t>STOCKHOLMS LÄN</t>
        </is>
      </c>
      <c r="G13" t="inlineStr">
        <is>
          <t>HANINGE</t>
        </is>
      </c>
      <c r="I13" t="n">
        <v>1.7</v>
      </c>
      <c r="J13" t="n">
        <v>5</v>
      </c>
      <c r="K13" t="n">
        <v>5</v>
      </c>
      <c r="L13" t="n">
        <v>3</v>
      </c>
      <c r="M13" t="n">
        <v>1</v>
      </c>
      <c r="N13" t="n">
        <v>0</v>
      </c>
      <c r="O13" t="n">
        <v>0</v>
      </c>
      <c r="P13" t="n">
        <v>0</v>
      </c>
      <c r="Q13" t="n">
        <v>4</v>
      </c>
      <c r="R13" t="n">
        <v>1</v>
      </c>
      <c r="S13" t="n">
        <v>14</v>
      </c>
      <c r="T13" t="n">
        <v>25</v>
      </c>
      <c r="U13" t="n">
        <v>23</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46316</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46316</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46316</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46316</v>
      </c>
      <c r="F17" t="inlineStr">
        <is>
          <t>STOCKHOLMS LÄN</t>
        </is>
      </c>
      <c r="G17" t="inlineStr">
        <is>
          <t>HANINGE</t>
        </is>
      </c>
      <c r="I17" t="n">
        <v>1.3</v>
      </c>
      <c r="J17" t="n">
        <v>1</v>
      </c>
      <c r="K17" t="n">
        <v>1</v>
      </c>
      <c r="L17" t="n">
        <v>3</v>
      </c>
      <c r="M17" t="n">
        <v>0</v>
      </c>
      <c r="N17" t="n">
        <v>0</v>
      </c>
      <c r="O17" t="n">
        <v>0</v>
      </c>
      <c r="P17" t="n">
        <v>0</v>
      </c>
      <c r="Q17" t="n">
        <v>3</v>
      </c>
      <c r="R17" t="n">
        <v>0</v>
      </c>
      <c r="S17" t="n">
        <v>5</v>
      </c>
      <c r="T17" t="n">
        <v>5</v>
      </c>
      <c r="U17" t="n">
        <v>4</v>
      </c>
      <c r="V17" s="2" t="inlineStr">
        <is>
          <t>Motaggsvamp
Skogshare
Tallticka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46316</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46316</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46316</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46316</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46316</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34823-2022</t>
        </is>
      </c>
      <c r="B23" t="inlineStr">
        <is>
          <t>avverkningsanmälan</t>
        </is>
      </c>
      <c r="C23" t="inlineStr">
        <is>
          <t>Föryngringsavverkning</t>
        </is>
      </c>
      <c r="D23" s="1" t="n">
        <v>44796</v>
      </c>
      <c r="E23" s="1" t="n">
        <v>46316</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6648-2023</t>
        </is>
      </c>
      <c r="B24" t="inlineStr">
        <is>
          <t>avverkningsanmälan</t>
        </is>
      </c>
      <c r="C24" t="inlineStr">
        <is>
          <t>Föryngringsavverkning</t>
        </is>
      </c>
      <c r="D24" s="1" t="n">
        <v>44966</v>
      </c>
      <c r="E24" s="1" t="n">
        <v>46316</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60369-2023</t>
        </is>
      </c>
      <c r="B25" t="inlineStr">
        <is>
          <t>avverkningsanmälan</t>
        </is>
      </c>
      <c r="C25" t="inlineStr">
        <is>
          <t>Föryngringsavverkning</t>
        </is>
      </c>
      <c r="D25" s="1" t="n">
        <v>45259</v>
      </c>
      <c r="E25" s="1" t="n">
        <v>46316</v>
      </c>
      <c r="F25" t="inlineStr">
        <is>
          <t>STOCKHOLMS LÄN</t>
        </is>
      </c>
      <c r="G25" t="inlineStr">
        <is>
          <t>HANINGE</t>
        </is>
      </c>
      <c r="I25" t="n">
        <v>2.9</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HYPERLINK("https://klasma.github.io/Logging_0136/artfynd/A 60369-2023 artfynd.xlsx", "A 60369-2023")</f>
        <v/>
      </c>
      <c r="X25">
        <f>HYPERLINK("https://klasma.github.io/Logging_0136/kartor/A 60369-2023 karta.png", "A 60369-2023")</f>
        <v/>
      </c>
      <c r="Y25">
        <f>HYPERLINK("https://klasma.github.io/Logging_0136/kartor_geotiff/A 60369-2023 georefererad karta.tif", "A 60369-2023")</f>
        <v/>
      </c>
      <c r="AA25">
        <f>HYPERLINK("https://klasma.github.io/Logging_0136/klagomål/A 60369-2023 FSC-klagomål.docx", "A 60369-2023")</f>
        <v/>
      </c>
      <c r="AB25">
        <f>HYPERLINK("https://klasma.github.io/Logging_0136/klagomålsmail/A 60369-2023 FSC-klagomål mail.docx", "A 60369-2023")</f>
        <v/>
      </c>
      <c r="AC25">
        <f>HYPERLINK("https://klasma.github.io/Logging_0136/tillsyn/A 60369-2023 tillsynsbegäran.docx", "A 60369-2023")</f>
        <v/>
      </c>
      <c r="AD25">
        <f>HYPERLINK("https://klasma.github.io/Logging_0136/tillsynsmail/A 60369-2023 tillsynsbegäran mail.docx", "A 60369-2023")</f>
        <v/>
      </c>
    </row>
    <row r="26" ht="15" customHeight="1">
      <c r="A26" t="inlineStr">
        <is>
          <t>A 32479-2026</t>
        </is>
      </c>
      <c r="B26" t="inlineStr">
        <is>
          <t>avverkningsanmälan</t>
        </is>
      </c>
      <c r="C26" t="inlineStr">
        <is>
          <t>Föryngringsavverkning</t>
        </is>
      </c>
      <c r="D26" s="1" t="n">
        <v>46239</v>
      </c>
      <c r="E26" s="1" t="n">
        <v>46316</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46316</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46316</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46316</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46316</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46316</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46316</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46316</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46316</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46316</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4297-2024</t>
        </is>
      </c>
      <c r="B36" t="inlineStr">
        <is>
          <t>avverkningsanmälan</t>
        </is>
      </c>
      <c r="C36" t="inlineStr">
        <is>
          <t>Föryngringsavverkning</t>
        </is>
      </c>
      <c r="D36" s="1" t="n">
        <v>45324</v>
      </c>
      <c r="E36" s="1" t="n">
        <v>46316</v>
      </c>
      <c r="F36" t="inlineStr">
        <is>
          <t>STOCKHOLMS LÄN</t>
        </is>
      </c>
      <c r="G36" t="inlineStr">
        <is>
          <t>HANINGE</t>
        </is>
      </c>
      <c r="H36" t="inlineStr">
        <is>
          <t>Kommuner</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9946-2024</t>
        </is>
      </c>
      <c r="B37" t="inlineStr">
        <is>
          <t>avverkningsanmälan</t>
        </is>
      </c>
      <c r="C37" t="inlineStr">
        <is>
          <t>Föryngringsavverkning</t>
        </is>
      </c>
      <c r="D37" s="1" t="n">
        <v>45363</v>
      </c>
      <c r="E37" s="1" t="n">
        <v>46316</v>
      </c>
      <c r="F37" t="inlineStr">
        <is>
          <t>STOCKHOLMS LÄN</t>
        </is>
      </c>
      <c r="G37" t="inlineStr">
        <is>
          <t>HANINGE</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24193-2025</t>
        </is>
      </c>
      <c r="B38" t="inlineStr">
        <is>
          <t>avverkningsanmälan</t>
        </is>
      </c>
      <c r="C38" t="inlineStr">
        <is>
          <t>Föryngringsavverkning</t>
        </is>
      </c>
      <c r="D38" s="1" t="n">
        <v>45796</v>
      </c>
      <c r="E38" s="1" t="n">
        <v>46316</v>
      </c>
      <c r="F38" t="inlineStr">
        <is>
          <t>STOCKHOLMS LÄN</t>
        </is>
      </c>
      <c r="G38" t="inlineStr">
        <is>
          <t>HANINGE</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64075-2023</t>
        </is>
      </c>
      <c r="B39" t="inlineStr">
        <is>
          <t>avverkningsanmälan</t>
        </is>
      </c>
      <c r="C39" t="inlineStr">
        <is>
          <t>Föryngringsavverkning</t>
        </is>
      </c>
      <c r="D39" s="1" t="n">
        <v>45279</v>
      </c>
      <c r="E39" s="1" t="n">
        <v>46316</v>
      </c>
      <c r="F39" t="inlineStr">
        <is>
          <t>STOCKHOLMS LÄN</t>
        </is>
      </c>
      <c r="G39" t="inlineStr">
        <is>
          <t>HANINGE</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13046-2022</t>
        </is>
      </c>
      <c r="B40" t="inlineStr">
        <is>
          <t>avverkningsanmälan</t>
        </is>
      </c>
      <c r="C40" t="inlineStr">
        <is>
          <t>Föryngringsavverkning</t>
        </is>
      </c>
      <c r="D40" s="1" t="n">
        <v>44643</v>
      </c>
      <c r="E40" s="1" t="n">
        <v>46316</v>
      </c>
      <c r="F40" t="inlineStr">
        <is>
          <t>STOCKHOLMS LÄN</t>
        </is>
      </c>
      <c r="G40" t="inlineStr">
        <is>
          <t>HANINGE</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27596-2025</t>
        </is>
      </c>
      <c r="B41" t="inlineStr">
        <is>
          <t>avverkningsanmälan</t>
        </is>
      </c>
      <c r="C41" t="inlineStr">
        <is>
          <t>Avverkning för att bevara och utveckla /försöksver</t>
        </is>
      </c>
      <c r="D41" s="1" t="n">
        <v>45813</v>
      </c>
      <c r="E41" s="1" t="n">
        <v>46316</v>
      </c>
      <c r="F41" t="inlineStr">
        <is>
          <t>STOCKHOLMS LÄN</t>
        </is>
      </c>
      <c r="G41" t="inlineStr">
        <is>
          <t>HANINGE</t>
        </is>
      </c>
      <c r="I41" t="n">
        <v>0.1</v>
      </c>
      <c r="J41" t="n">
        <v>0</v>
      </c>
      <c r="K41" t="n">
        <v>0</v>
      </c>
      <c r="L41" t="n">
        <v>0</v>
      </c>
      <c r="M41" t="n">
        <v>0</v>
      </c>
      <c r="N41" t="n">
        <v>0</v>
      </c>
      <c r="O41" t="n">
        <v>0</v>
      </c>
      <c r="P41" t="n">
        <v>0</v>
      </c>
      <c r="Q41" t="n">
        <v>0</v>
      </c>
      <c r="R41" t="n">
        <v>0</v>
      </c>
      <c r="S41" t="n">
        <v>0</v>
      </c>
      <c r="T41" t="n">
        <v>0</v>
      </c>
      <c r="U41" t="n">
        <v>0</v>
      </c>
      <c r="V41" s="2" t="inlineStr"/>
    </row>
    <row r="42" ht="15" customHeight="1">
      <c r="A42" t="inlineStr">
        <is>
          <t>A 50306-2023</t>
        </is>
      </c>
      <c r="B42" t="inlineStr">
        <is>
          <t>avverkningsanmälan</t>
        </is>
      </c>
      <c r="C42" t="inlineStr">
        <is>
          <t>Föryngringsavverkning</t>
        </is>
      </c>
      <c r="D42" s="1" t="n">
        <v>45209</v>
      </c>
      <c r="E42" s="1" t="n">
        <v>46316</v>
      </c>
      <c r="F42" t="inlineStr">
        <is>
          <t>STOCKHOLMS LÄN</t>
        </is>
      </c>
      <c r="G42" t="inlineStr">
        <is>
          <t>HANINGE</t>
        </is>
      </c>
      <c r="I42" t="n">
        <v>2.3</v>
      </c>
      <c r="J42" t="n">
        <v>0</v>
      </c>
      <c r="K42" t="n">
        <v>0</v>
      </c>
      <c r="L42" t="n">
        <v>0</v>
      </c>
      <c r="M42" t="n">
        <v>0</v>
      </c>
      <c r="N42" t="n">
        <v>0</v>
      </c>
      <c r="O42" t="n">
        <v>0</v>
      </c>
      <c r="P42" t="n">
        <v>0</v>
      </c>
      <c r="Q42" t="n">
        <v>0</v>
      </c>
      <c r="R42" t="n">
        <v>0</v>
      </c>
      <c r="S42" t="n">
        <v>0</v>
      </c>
      <c r="T42" t="n">
        <v>0</v>
      </c>
      <c r="U42" t="n">
        <v>0</v>
      </c>
      <c r="V42" s="2" t="inlineStr"/>
      <c r="Z42">
        <f>HYPERLINK("https://klasma.github.io/Logging_0136/knärot/A 50306-2023 karta knärot.png", "A 50306-2023")</f>
        <v/>
      </c>
      <c r="AA42">
        <f>HYPERLINK("https://klasma.github.io/Logging_0136/klagomål/A 50306-2023 FSC-klagomål.docx", "A 50306-2023")</f>
        <v/>
      </c>
      <c r="AB42">
        <f>HYPERLINK("https://klasma.github.io/Logging_0136/klagomålsmail/A 50306-2023 FSC-klagomål mail.docx", "A 50306-2023")</f>
        <v/>
      </c>
      <c r="AC42">
        <f>HYPERLINK("https://klasma.github.io/Logging_0136/tillsyn/A 50306-2023 tillsynsbegäran.docx", "A 50306-2023")</f>
        <v/>
      </c>
      <c r="AD42">
        <f>HYPERLINK("https://klasma.github.io/Logging_0136/tillsynsmail/A 50306-2023 tillsynsbegäran mail.docx", "A 50306-2023")</f>
        <v/>
      </c>
    </row>
    <row r="43" ht="15" customHeight="1">
      <c r="A43" t="inlineStr">
        <is>
          <t>A 22288-2023</t>
        </is>
      </c>
      <c r="B43" t="inlineStr">
        <is>
          <t>avverkningsanmälan</t>
        </is>
      </c>
      <c r="C43" t="inlineStr">
        <is>
          <t>Föryngringsavverkning</t>
        </is>
      </c>
      <c r="D43" s="1" t="n">
        <v>45070</v>
      </c>
      <c r="E43" s="1" t="n">
        <v>46316</v>
      </c>
      <c r="F43" t="inlineStr">
        <is>
          <t>STOCKHOLMS LÄN</t>
        </is>
      </c>
      <c r="G43" t="inlineStr">
        <is>
          <t>HANINGE</t>
        </is>
      </c>
      <c r="I43" t="n">
        <v>2.8</v>
      </c>
      <c r="J43" t="n">
        <v>0</v>
      </c>
      <c r="K43" t="n">
        <v>0</v>
      </c>
      <c r="L43" t="n">
        <v>0</v>
      </c>
      <c r="M43" t="n">
        <v>0</v>
      </c>
      <c r="N43" t="n">
        <v>0</v>
      </c>
      <c r="O43" t="n">
        <v>0</v>
      </c>
      <c r="P43" t="n">
        <v>0</v>
      </c>
      <c r="Q43" t="n">
        <v>0</v>
      </c>
      <c r="R43" t="n">
        <v>0</v>
      </c>
      <c r="S43" t="n">
        <v>0</v>
      </c>
      <c r="T43" t="n">
        <v>0</v>
      </c>
      <c r="U43" t="n">
        <v>0</v>
      </c>
      <c r="V43" s="2" t="inlineStr"/>
    </row>
    <row r="44" ht="15" customHeight="1">
      <c r="A44" t="inlineStr">
        <is>
          <t>A 12787-2026</t>
        </is>
      </c>
      <c r="B44" t="inlineStr">
        <is>
          <t>avverkningsanmälan</t>
        </is>
      </c>
      <c r="C44" t="inlineStr">
        <is>
          <t>Föryngringsavverkning</t>
        </is>
      </c>
      <c r="D44" s="1" t="n">
        <v>46091</v>
      </c>
      <c r="E44" s="1" t="n">
        <v>46316</v>
      </c>
      <c r="F44" t="inlineStr">
        <is>
          <t>STOCKHOLMS LÄN</t>
        </is>
      </c>
      <c r="G44" t="inlineStr">
        <is>
          <t>HANINGE</t>
        </is>
      </c>
      <c r="I44" t="n">
        <v>4</v>
      </c>
      <c r="J44" t="n">
        <v>0</v>
      </c>
      <c r="K44" t="n">
        <v>0</v>
      </c>
      <c r="L44" t="n">
        <v>0</v>
      </c>
      <c r="M44" t="n">
        <v>0</v>
      </c>
      <c r="N44" t="n">
        <v>0</v>
      </c>
      <c r="O44" t="n">
        <v>0</v>
      </c>
      <c r="P44" t="n">
        <v>0</v>
      </c>
      <c r="Q44" t="n">
        <v>0</v>
      </c>
      <c r="R44" t="n">
        <v>0</v>
      </c>
      <c r="S44" t="n">
        <v>0</v>
      </c>
      <c r="T44" t="n">
        <v>0</v>
      </c>
      <c r="U44" t="n">
        <v>0</v>
      </c>
      <c r="V44" s="2" t="inlineStr"/>
    </row>
    <row r="45" ht="15" customHeight="1">
      <c r="A45" t="inlineStr">
        <is>
          <t>A 18512-2024</t>
        </is>
      </c>
      <c r="B45" t="inlineStr">
        <is>
          <t>avverkningsanmälan</t>
        </is>
      </c>
      <c r="C45" t="inlineStr">
        <is>
          <t>Föryngringsavverkning</t>
        </is>
      </c>
      <c r="D45" s="1" t="n">
        <v>45425</v>
      </c>
      <c r="E45" s="1" t="n">
        <v>46316</v>
      </c>
      <c r="F45" t="inlineStr">
        <is>
          <t>STOCKHOLMS LÄN</t>
        </is>
      </c>
      <c r="G45" t="inlineStr">
        <is>
          <t>HANINGE</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32948-2025</t>
        </is>
      </c>
      <c r="B46" t="inlineStr">
        <is>
          <t>avverkningsanmälan</t>
        </is>
      </c>
      <c r="C46" t="inlineStr">
        <is>
          <t>Föryngringsavverkning</t>
        </is>
      </c>
      <c r="D46" s="1" t="n">
        <v>45839</v>
      </c>
      <c r="E46" s="1" t="n">
        <v>46316</v>
      </c>
      <c r="F46" t="inlineStr">
        <is>
          <t>STOCKHOLMS LÄN</t>
        </is>
      </c>
      <c r="G46" t="inlineStr">
        <is>
          <t>HANINGE</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14264-2025</t>
        </is>
      </c>
      <c r="B47" t="inlineStr">
        <is>
          <t>avverkningsanmälan</t>
        </is>
      </c>
      <c r="C47" t="inlineStr">
        <is>
          <t>Föryngringsavverkning</t>
        </is>
      </c>
      <c r="D47" s="1" t="n">
        <v>45740</v>
      </c>
      <c r="E47" s="1" t="n">
        <v>46316</v>
      </c>
      <c r="F47" t="inlineStr">
        <is>
          <t>STOCKHOLMS LÄN</t>
        </is>
      </c>
      <c r="G47" t="inlineStr">
        <is>
          <t>HANINGE</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48606-2025</t>
        </is>
      </c>
      <c r="B48" t="inlineStr">
        <is>
          <t>avverkningsanmälan</t>
        </is>
      </c>
      <c r="C48" t="inlineStr">
        <is>
          <t>Föryngringsavverkning</t>
        </is>
      </c>
      <c r="D48" s="1" t="n">
        <v>45936</v>
      </c>
      <c r="E48" s="1" t="n">
        <v>46316</v>
      </c>
      <c r="F48" t="inlineStr">
        <is>
          <t>STOCKHOLMS LÄN</t>
        </is>
      </c>
      <c r="G48" t="inlineStr">
        <is>
          <t>HANINGE</t>
        </is>
      </c>
      <c r="I48" t="n">
        <v>6.9</v>
      </c>
      <c r="J48" t="n">
        <v>0</v>
      </c>
      <c r="K48" t="n">
        <v>0</v>
      </c>
      <c r="L48" t="n">
        <v>0</v>
      </c>
      <c r="M48" t="n">
        <v>0</v>
      </c>
      <c r="N48" t="n">
        <v>0</v>
      </c>
      <c r="O48" t="n">
        <v>0</v>
      </c>
      <c r="P48" t="n">
        <v>0</v>
      </c>
      <c r="Q48" t="n">
        <v>0</v>
      </c>
      <c r="R48" t="n">
        <v>0</v>
      </c>
      <c r="S48" t="n">
        <v>0</v>
      </c>
      <c r="T48" t="n">
        <v>0</v>
      </c>
      <c r="U48" t="n">
        <v>0</v>
      </c>
      <c r="V48" s="2" t="inlineStr"/>
    </row>
    <row r="49" ht="15" customHeight="1">
      <c r="A49" t="inlineStr">
        <is>
          <t>A 52770-2024</t>
        </is>
      </c>
      <c r="B49" t="inlineStr">
        <is>
          <t>avverkningsanmälan</t>
        </is>
      </c>
      <c r="C49" t="inlineStr">
        <is>
          <t>Föryngringsavverkning</t>
        </is>
      </c>
      <c r="D49" s="1" t="n">
        <v>45610</v>
      </c>
      <c r="E49" s="1" t="n">
        <v>46316</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18528-2024</t>
        </is>
      </c>
      <c r="B50" t="inlineStr">
        <is>
          <t>avverkningsanmälan</t>
        </is>
      </c>
      <c r="C50" t="inlineStr">
        <is>
          <t>Föryngringsavverkning</t>
        </is>
      </c>
      <c r="D50" s="1" t="n">
        <v>45425</v>
      </c>
      <c r="E50" s="1" t="n">
        <v>46316</v>
      </c>
      <c r="F50" t="inlineStr">
        <is>
          <t>STOCKHOLMS LÄN</t>
        </is>
      </c>
      <c r="G50" t="inlineStr">
        <is>
          <t>HANINGE</t>
        </is>
      </c>
      <c r="H50" t="inlineStr">
        <is>
          <t>Kommuner</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18490-2025</t>
        </is>
      </c>
      <c r="B51" t="inlineStr">
        <is>
          <t>avverkningsanmälan</t>
        </is>
      </c>
      <c r="C51" t="inlineStr">
        <is>
          <t>Föryngringsavverkning</t>
        </is>
      </c>
      <c r="D51" s="1" t="n">
        <v>45763</v>
      </c>
      <c r="E51" s="1" t="n">
        <v>46316</v>
      </c>
      <c r="F51" t="inlineStr">
        <is>
          <t>STOCKHOLMS LÄN</t>
        </is>
      </c>
      <c r="G51" t="inlineStr">
        <is>
          <t>HANINGE</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18548-2024</t>
        </is>
      </c>
      <c r="B52" t="inlineStr">
        <is>
          <t>avverkningsanmälan</t>
        </is>
      </c>
      <c r="C52" t="inlineStr">
        <is>
          <t>Föryngringsavverkning</t>
        </is>
      </c>
      <c r="D52" s="1" t="n">
        <v>45425</v>
      </c>
      <c r="E52" s="1" t="n">
        <v>46316</v>
      </c>
      <c r="F52" t="inlineStr">
        <is>
          <t>STOCKHOLMS LÄN</t>
        </is>
      </c>
      <c r="G52" t="inlineStr">
        <is>
          <t>HANINGE</t>
        </is>
      </c>
      <c r="H52" t="inlineStr">
        <is>
          <t>Kommuner</t>
        </is>
      </c>
      <c r="I52" t="n">
        <v>7.3</v>
      </c>
      <c r="J52" t="n">
        <v>0</v>
      </c>
      <c r="K52" t="n">
        <v>0</v>
      </c>
      <c r="L52" t="n">
        <v>0</v>
      </c>
      <c r="M52" t="n">
        <v>0</v>
      </c>
      <c r="N52" t="n">
        <v>0</v>
      </c>
      <c r="O52" t="n">
        <v>0</v>
      </c>
      <c r="P52" t="n">
        <v>0</v>
      </c>
      <c r="Q52" t="n">
        <v>0</v>
      </c>
      <c r="R52" t="n">
        <v>0</v>
      </c>
      <c r="S52" t="n">
        <v>0</v>
      </c>
      <c r="T52" t="n">
        <v>0</v>
      </c>
      <c r="U52" t="n">
        <v>0</v>
      </c>
      <c r="V52" s="2" t="inlineStr"/>
    </row>
    <row r="53" ht="15" customHeight="1">
      <c r="A53" t="inlineStr">
        <is>
          <t>A 20839-2024</t>
        </is>
      </c>
      <c r="B53" t="inlineStr">
        <is>
          <t>avverkningsanmälan</t>
        </is>
      </c>
      <c r="C53" t="inlineStr">
        <is>
          <t>Föryngringsavverkning</t>
        </is>
      </c>
      <c r="D53" s="1" t="n">
        <v>45439</v>
      </c>
      <c r="E53" s="1" t="n">
        <v>46316</v>
      </c>
      <c r="F53" t="inlineStr">
        <is>
          <t>STOCKHOLMS LÄN</t>
        </is>
      </c>
      <c r="G53" t="inlineStr">
        <is>
          <t>HANINGE</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5474-2024</t>
        </is>
      </c>
      <c r="B54" t="inlineStr">
        <is>
          <t>avverkningsanmälan</t>
        </is>
      </c>
      <c r="C54" t="inlineStr">
        <is>
          <t>Föryngringsavverkning</t>
        </is>
      </c>
      <c r="D54" s="1" t="n">
        <v>45333</v>
      </c>
      <c r="E54" s="1" t="n">
        <v>46316</v>
      </c>
      <c r="F54" t="inlineStr">
        <is>
          <t>STOCKHOLMS LÄN</t>
        </is>
      </c>
      <c r="G54" t="inlineStr">
        <is>
          <t>HANINGE</t>
        </is>
      </c>
      <c r="H54" t="inlineStr">
        <is>
          <t>Kommuner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24800-2026</t>
        </is>
      </c>
      <c r="B55" t="inlineStr">
        <is>
          <t>avverkningsanmälan</t>
        </is>
      </c>
      <c r="C55" t="inlineStr">
        <is>
          <t>Föryngringsavverkning</t>
        </is>
      </c>
      <c r="D55" s="1" t="n">
        <v>46171</v>
      </c>
      <c r="E55" s="1" t="n">
        <v>46316</v>
      </c>
      <c r="F55" t="inlineStr">
        <is>
          <t>STOCKHOLMS LÄN</t>
        </is>
      </c>
      <c r="G55" t="inlineStr">
        <is>
          <t>HANINGE</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23666-2024</t>
        </is>
      </c>
      <c r="B56" t="inlineStr">
        <is>
          <t>avverkningsanmälan</t>
        </is>
      </c>
      <c r="C56" t="inlineStr">
        <is>
          <t>Föryngringsavverkning</t>
        </is>
      </c>
      <c r="D56" s="1" t="n">
        <v>45454</v>
      </c>
      <c r="E56" s="1" t="n">
        <v>46316</v>
      </c>
      <c r="F56" t="inlineStr">
        <is>
          <t>STOCKHOLMS LÄN</t>
        </is>
      </c>
      <c r="G56" t="inlineStr">
        <is>
          <t>HANINGE</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68896-2021</t>
        </is>
      </c>
      <c r="B57" t="inlineStr">
        <is>
          <t>avverkningsanmälan</t>
        </is>
      </c>
      <c r="C57" t="inlineStr">
        <is>
          <t>Föryngringsavverkning</t>
        </is>
      </c>
      <c r="D57" s="1" t="n">
        <v>44526</v>
      </c>
      <c r="E57" s="1" t="n">
        <v>46316</v>
      </c>
      <c r="F57" t="inlineStr">
        <is>
          <t>STOCKHOLMS LÄN</t>
        </is>
      </c>
      <c r="G57" t="inlineStr">
        <is>
          <t>HANINGE</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26417-2026</t>
        </is>
      </c>
      <c r="B58" t="inlineStr">
        <is>
          <t>avverkningsanmälan</t>
        </is>
      </c>
      <c r="C58" t="inlineStr">
        <is>
          <t>Föryngringsavverkning</t>
        </is>
      </c>
      <c r="D58" s="1" t="n">
        <v>46183</v>
      </c>
      <c r="E58" s="1" t="n">
        <v>46316</v>
      </c>
      <c r="F58" t="inlineStr">
        <is>
          <t>STOCKHOLMS LÄN</t>
        </is>
      </c>
      <c r="G58" t="inlineStr">
        <is>
          <t>HANINGE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26886-2026</t>
        </is>
      </c>
      <c r="B59" t="inlineStr">
        <is>
          <t>avverkningsanmälan</t>
        </is>
      </c>
      <c r="C59" t="inlineStr">
        <is>
          <t>Avverkning för annat ändamål</t>
        </is>
      </c>
      <c r="D59" s="1" t="n">
        <v>46185</v>
      </c>
      <c r="E59" s="1" t="n">
        <v>46316</v>
      </c>
      <c r="F59" t="inlineStr">
        <is>
          <t>STOCKHOLMS LÄN</t>
        </is>
      </c>
      <c r="G59" t="inlineStr">
        <is>
          <t>HANINGE</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33792-2023</t>
        </is>
      </c>
      <c r="B60" t="inlineStr">
        <is>
          <t>avverkningsanmälan</t>
        </is>
      </c>
      <c r="C60" t="inlineStr">
        <is>
          <t>Föryngringsavverkning</t>
        </is>
      </c>
      <c r="D60" s="1" t="n">
        <v>45121</v>
      </c>
      <c r="E60" s="1" t="n">
        <v>46316</v>
      </c>
      <c r="F60" t="inlineStr">
        <is>
          <t>STOCKHOLMS LÄN</t>
        </is>
      </c>
      <c r="G60" t="inlineStr">
        <is>
          <t>HANINGE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14900-2025</t>
        </is>
      </c>
      <c r="B61" t="inlineStr">
        <is>
          <t>avverkningsanmälan</t>
        </is>
      </c>
      <c r="C61" t="inlineStr">
        <is>
          <t>Föryngringsavverkning</t>
        </is>
      </c>
      <c r="D61" s="1" t="n">
        <v>45743</v>
      </c>
      <c r="E61" s="1" t="n">
        <v>46316</v>
      </c>
      <c r="F61" t="inlineStr">
        <is>
          <t>STOCKHOLMS LÄN</t>
        </is>
      </c>
      <c r="G61" t="inlineStr">
        <is>
          <t>HANINGE</t>
        </is>
      </c>
      <c r="I61" t="n">
        <v>4.5</v>
      </c>
      <c r="J61" t="n">
        <v>0</v>
      </c>
      <c r="K61" t="n">
        <v>0</v>
      </c>
      <c r="L61" t="n">
        <v>0</v>
      </c>
      <c r="M61" t="n">
        <v>0</v>
      </c>
      <c r="N61" t="n">
        <v>0</v>
      </c>
      <c r="O61" t="n">
        <v>0</v>
      </c>
      <c r="P61" t="n">
        <v>0</v>
      </c>
      <c r="Q61" t="n">
        <v>0</v>
      </c>
      <c r="R61" t="n">
        <v>0</v>
      </c>
      <c r="S61" t="n">
        <v>0</v>
      </c>
      <c r="T61" t="n">
        <v>0</v>
      </c>
      <c r="U61" t="n">
        <v>0</v>
      </c>
      <c r="V61" s="2" t="inlineStr"/>
    </row>
    <row r="62" ht="15" customHeight="1">
      <c r="A62" t="inlineStr">
        <is>
          <t>A 20527-2025</t>
        </is>
      </c>
      <c r="B62" t="inlineStr">
        <is>
          <t>avverkningsanmälan</t>
        </is>
      </c>
      <c r="C62" t="inlineStr">
        <is>
          <t>Föryngringsavverkning</t>
        </is>
      </c>
      <c r="D62" s="1" t="n">
        <v>45775</v>
      </c>
      <c r="E62" s="1" t="n">
        <v>46316</v>
      </c>
      <c r="F62" t="inlineStr">
        <is>
          <t>STOCKHOLMS LÄN</t>
        </is>
      </c>
      <c r="G62" t="inlineStr">
        <is>
          <t>HANINGE</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64568-2023</t>
        </is>
      </c>
      <c r="B63" t="inlineStr">
        <is>
          <t>avverkningsanmälan</t>
        </is>
      </c>
      <c r="C63" t="inlineStr">
        <is>
          <t>Föryngringsavverkning</t>
        </is>
      </c>
      <c r="D63" s="1" t="n">
        <v>45281</v>
      </c>
      <c r="E63" s="1" t="n">
        <v>46316</v>
      </c>
      <c r="F63" t="inlineStr">
        <is>
          <t>STOCKHOLMS LÄN</t>
        </is>
      </c>
      <c r="G63" t="inlineStr">
        <is>
          <t>HANINGE</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46316</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24873-2023</t>
        </is>
      </c>
      <c r="B65" t="inlineStr">
        <is>
          <t>avverkningsanmälan</t>
        </is>
      </c>
      <c r="C65" t="inlineStr">
        <is>
          <t>Föryngringsavverkning</t>
        </is>
      </c>
      <c r="D65" s="1" t="n">
        <v>45085</v>
      </c>
      <c r="E65" s="1" t="n">
        <v>46316</v>
      </c>
      <c r="F65" t="inlineStr">
        <is>
          <t>STOCKHOLMS LÄN</t>
        </is>
      </c>
      <c r="G65" t="inlineStr">
        <is>
          <t>HANINGE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58599-2023</t>
        </is>
      </c>
      <c r="B66" t="inlineStr">
        <is>
          <t>avverkningsanmälan</t>
        </is>
      </c>
      <c r="C66" t="inlineStr">
        <is>
          <t>Föryngringsavverkning</t>
        </is>
      </c>
      <c r="D66" s="1" t="n">
        <v>45251</v>
      </c>
      <c r="E66" s="1" t="n">
        <v>46316</v>
      </c>
      <c r="F66" t="inlineStr">
        <is>
          <t>STOCKHOLMS LÄN</t>
        </is>
      </c>
      <c r="G66" t="inlineStr">
        <is>
          <t>HANINGE</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52836-2024</t>
        </is>
      </c>
      <c r="B67" t="inlineStr">
        <is>
          <t>avverkningsanmälan</t>
        </is>
      </c>
      <c r="C67" t="inlineStr">
        <is>
          <t>Föryngringsavverkning</t>
        </is>
      </c>
      <c r="D67" s="1" t="n">
        <v>45610</v>
      </c>
      <c r="E67" s="1" t="n">
        <v>46316</v>
      </c>
      <c r="F67" t="inlineStr">
        <is>
          <t>STOCKHOLMS LÄN</t>
        </is>
      </c>
      <c r="G67" t="inlineStr">
        <is>
          <t>HANINGE</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32486-2026</t>
        </is>
      </c>
      <c r="B68" t="inlineStr">
        <is>
          <t>avverkningsanmälan</t>
        </is>
      </c>
      <c r="C68" t="inlineStr">
        <is>
          <t>Föryngringsavverkning</t>
        </is>
      </c>
      <c r="D68" s="1" t="n">
        <v>46239</v>
      </c>
      <c r="E68" s="1" t="n">
        <v>46316</v>
      </c>
      <c r="F68" t="inlineStr">
        <is>
          <t>STOCKHOLMS LÄN</t>
        </is>
      </c>
      <c r="G68" t="inlineStr">
        <is>
          <t>HANINGE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8078-2024</t>
        </is>
      </c>
      <c r="B69" t="inlineStr">
        <is>
          <t>avverkningsanmälan</t>
        </is>
      </c>
      <c r="C69" t="inlineStr">
        <is>
          <t>Föryngringsavverkning</t>
        </is>
      </c>
      <c r="D69" s="1" t="n">
        <v>45351</v>
      </c>
      <c r="E69" s="1" t="n">
        <v>46316</v>
      </c>
      <c r="F69" t="inlineStr">
        <is>
          <t>STOCKHOLMS LÄN</t>
        </is>
      </c>
      <c r="G69" t="inlineStr">
        <is>
          <t>HANINGE</t>
        </is>
      </c>
      <c r="H69" t="inlineStr">
        <is>
          <t>Kommuner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19220-2023</t>
        </is>
      </c>
      <c r="B70" t="inlineStr">
        <is>
          <t>avverkningsanmälan</t>
        </is>
      </c>
      <c r="C70" t="inlineStr">
        <is>
          <t>Föryngringsavverkning</t>
        </is>
      </c>
      <c r="D70" s="1" t="n">
        <v>45048</v>
      </c>
      <c r="E70" s="1" t="n">
        <v>46316</v>
      </c>
      <c r="F70" t="inlineStr">
        <is>
          <t>STOCKHOLMS LÄN</t>
        </is>
      </c>
      <c r="G70" t="inlineStr">
        <is>
          <t>HANINGE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25584-2023</t>
        </is>
      </c>
      <c r="B71" t="inlineStr">
        <is>
          <t>avverkningsanmälan</t>
        </is>
      </c>
      <c r="C71" t="inlineStr">
        <is>
          <t>Föryngringsavverkning</t>
        </is>
      </c>
      <c r="D71" s="1" t="n">
        <v>45089</v>
      </c>
      <c r="E71" s="1" t="n">
        <v>46316</v>
      </c>
      <c r="F71" t="inlineStr">
        <is>
          <t>STOCKHOLMS LÄN</t>
        </is>
      </c>
      <c r="G71" t="inlineStr">
        <is>
          <t>HANINGE</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3156-2025</t>
        </is>
      </c>
      <c r="B72" t="inlineStr">
        <is>
          <t>avverkningsanmälan</t>
        </is>
      </c>
      <c r="C72" t="inlineStr">
        <is>
          <t>Föryngringsavverkning</t>
        </is>
      </c>
      <c r="D72" s="1" t="n">
        <v>45679</v>
      </c>
      <c r="E72" s="1" t="n">
        <v>46316</v>
      </c>
      <c r="F72" t="inlineStr">
        <is>
          <t>STOCKHOLMS LÄN</t>
        </is>
      </c>
      <c r="G72" t="inlineStr">
        <is>
          <t>HANINGE</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17765-2024</t>
        </is>
      </c>
      <c r="B73" t="inlineStr">
        <is>
          <t>avverkningsanmälan</t>
        </is>
      </c>
      <c r="C73" t="inlineStr">
        <is>
          <t>Föryngringsavverkning</t>
        </is>
      </c>
      <c r="D73" s="1" t="n">
        <v>45418</v>
      </c>
      <c r="E73" s="1" t="n">
        <v>46316</v>
      </c>
      <c r="F73" t="inlineStr">
        <is>
          <t>STOCKHOLMS LÄN</t>
        </is>
      </c>
      <c r="G73" t="inlineStr">
        <is>
          <t>HANINGE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42392-2026</t>
        </is>
      </c>
      <c r="B74" t="inlineStr">
        <is>
          <t>avverkningsanmälan</t>
        </is>
      </c>
      <c r="C74" t="inlineStr">
        <is>
          <t>Föryngringsavverkning</t>
        </is>
      </c>
      <c r="D74" s="1" t="n">
        <v>46307</v>
      </c>
      <c r="E74" s="1" t="n">
        <v>46316</v>
      </c>
      <c r="F74" t="inlineStr">
        <is>
          <t>STOCKHOLMS LÄN</t>
        </is>
      </c>
      <c r="G74" t="inlineStr">
        <is>
          <t>HANINGE</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42952-2026</t>
        </is>
      </c>
      <c r="B75" t="inlineStr">
        <is>
          <t>avverkningsanmälan</t>
        </is>
      </c>
      <c r="C75" t="inlineStr">
        <is>
          <t>Föryngringsavverkning</t>
        </is>
      </c>
      <c r="D75" s="1" t="n">
        <v>46310</v>
      </c>
      <c r="E75" s="1" t="n">
        <v>46316</v>
      </c>
      <c r="F75" t="inlineStr">
        <is>
          <t>STOCKHOLMS LÄN</t>
        </is>
      </c>
      <c r="G75" t="inlineStr">
        <is>
          <t>HANINGE</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68894-2021</t>
        </is>
      </c>
      <c r="B76" t="inlineStr">
        <is>
          <t>avverkningsanmälan</t>
        </is>
      </c>
      <c r="C76" t="inlineStr">
        <is>
          <t>Föryngringsavverkning</t>
        </is>
      </c>
      <c r="D76" s="1" t="n">
        <v>44526</v>
      </c>
      <c r="E76" s="1" t="n">
        <v>46316</v>
      </c>
      <c r="F76" t="inlineStr">
        <is>
          <t>STOCKHOLMS LÄN</t>
        </is>
      </c>
      <c r="G76" t="inlineStr">
        <is>
          <t>HANINGE</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18491-2025</t>
        </is>
      </c>
      <c r="B77" t="inlineStr">
        <is>
          <t>avverkningsanmälan</t>
        </is>
      </c>
      <c r="C77" t="inlineStr">
        <is>
          <t>Föryngringsavverkning</t>
        </is>
      </c>
      <c r="D77" s="1" t="n">
        <v>45763</v>
      </c>
      <c r="E77" s="1" t="n">
        <v>46316</v>
      </c>
      <c r="F77" t="inlineStr">
        <is>
          <t>STOCKHOLMS LÄN</t>
        </is>
      </c>
      <c r="G77" t="inlineStr">
        <is>
          <t>HANINGE</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42975-2026</t>
        </is>
      </c>
      <c r="B78" t="inlineStr">
        <is>
          <t>avverkningsanmälan</t>
        </is>
      </c>
      <c r="C78" t="inlineStr">
        <is>
          <t>Föryngringsavverkning</t>
        </is>
      </c>
      <c r="D78" s="1" t="n">
        <v>46310</v>
      </c>
      <c r="E78" s="1" t="n">
        <v>46316</v>
      </c>
      <c r="F78" t="inlineStr">
        <is>
          <t>STOCKHOLMS LÄN</t>
        </is>
      </c>
      <c r="G78" t="inlineStr">
        <is>
          <t>HANINGE</t>
        </is>
      </c>
      <c r="I78" t="n">
        <v>0.8</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46316</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2026-10-21T02:04:13Z</dcterms:created>
  <dcterms:modified xmlns:dcterms="http://purl.org/dc/terms/" xmlns:xsi="http://www.w3.org/2001/XMLSchema-instance" xsi:type="dcterms:W3CDTF">2026-10-21T02:04:13Z</dcterms:modified>
</cp:coreProperties>
</file>