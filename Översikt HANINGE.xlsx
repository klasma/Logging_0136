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46198</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46198</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46198</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3152-2025</t>
        </is>
      </c>
      <c r="B5" s="1" t="n">
        <v>45679</v>
      </c>
      <c r="C5" s="1" t="n">
        <v>46198</v>
      </c>
      <c r="D5" t="inlineStr">
        <is>
          <t>STOCKHOLMS LÄN</t>
        </is>
      </c>
      <c r="E5" t="inlineStr">
        <is>
          <t>HANINGE</t>
        </is>
      </c>
      <c r="G5" t="n">
        <v>2.2</v>
      </c>
      <c r="H5" t="n">
        <v>9</v>
      </c>
      <c r="I5" t="n">
        <v>10</v>
      </c>
      <c r="J5" t="n">
        <v>11</v>
      </c>
      <c r="K5" t="n">
        <v>1</v>
      </c>
      <c r="L5" t="n">
        <v>0</v>
      </c>
      <c r="M5" t="n">
        <v>0</v>
      </c>
      <c r="N5" t="n">
        <v>0</v>
      </c>
      <c r="O5" t="n">
        <v>12</v>
      </c>
      <c r="P5" t="n">
        <v>1</v>
      </c>
      <c r="Q5" t="n">
        <v>26</v>
      </c>
      <c r="R5"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5">
        <f>HYPERLINK("https://klasma.github.io/Logging_0136/artfynd/A 3152-2025 artfynd.xlsx", "A 3152-2025")</f>
        <v/>
      </c>
      <c r="T5">
        <f>HYPERLINK("https://klasma.github.io/Logging_0136/kartor/A 3152-2025 karta.png", "A 3152-2025")</f>
        <v/>
      </c>
      <c r="U5">
        <f>HYPERLINK("https://klasma.github.io/Logging_0136/knärot/A 3152-2025 karta knärot.png", "A 3152-2025")</f>
        <v/>
      </c>
      <c r="V5">
        <f>HYPERLINK("https://klasma.github.io/Logging_0136/klagomål/A 3152-2025 FSC-klagomål.docx", "A 3152-2025")</f>
        <v/>
      </c>
      <c r="W5">
        <f>HYPERLINK("https://klasma.github.io/Logging_0136/klagomålsmail/A 3152-2025 FSC-klagomål mail.docx", "A 3152-2025")</f>
        <v/>
      </c>
      <c r="X5">
        <f>HYPERLINK("https://klasma.github.io/Logging_0136/tillsyn/A 3152-2025 tillsynsbegäran.docx", "A 3152-2025")</f>
        <v/>
      </c>
      <c r="Y5">
        <f>HYPERLINK("https://klasma.github.io/Logging_0136/tillsynsmail/A 3152-2025 tillsynsbegäran mail.docx", "A 3152-2025")</f>
        <v/>
      </c>
      <c r="Z5">
        <f>HYPERLINK("https://klasma.github.io/Logging_0136/fåglar/A 3152-2025 prioriterade fågelarter.docx", "A 3152-2025")</f>
        <v/>
      </c>
    </row>
    <row r="6" ht="15" customHeight="1">
      <c r="A6" t="inlineStr">
        <is>
          <t>A 67868-2021</t>
        </is>
      </c>
      <c r="B6" s="1" t="n">
        <v>44525</v>
      </c>
      <c r="C6" s="1" t="n">
        <v>46198</v>
      </c>
      <c r="D6" t="inlineStr">
        <is>
          <t>STOCKHOLMS LÄN</t>
        </is>
      </c>
      <c r="E6" t="inlineStr">
        <is>
          <t>HANINGE</t>
        </is>
      </c>
      <c r="G6" t="n">
        <v>8.800000000000001</v>
      </c>
      <c r="H6" t="n">
        <v>6</v>
      </c>
      <c r="I6" t="n">
        <v>14</v>
      </c>
      <c r="J6" t="n">
        <v>6</v>
      </c>
      <c r="K6" t="n">
        <v>1</v>
      </c>
      <c r="L6" t="n">
        <v>0</v>
      </c>
      <c r="M6" t="n">
        <v>0</v>
      </c>
      <c r="N6" t="n">
        <v>0</v>
      </c>
      <c r="O6" t="n">
        <v>7</v>
      </c>
      <c r="P6" t="n">
        <v>1</v>
      </c>
      <c r="Q6" t="n">
        <v>26</v>
      </c>
      <c r="R6"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67894-2021</t>
        </is>
      </c>
      <c r="B7" s="1" t="n">
        <v>44525</v>
      </c>
      <c r="C7" s="1" t="n">
        <v>46198</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46198</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46198</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46198</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46198</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46198</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46198</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46198</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46198</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46198</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46198</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46198</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46198</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46198</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46198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v>
      </c>
      <c r="C24" s="1" t="n">
        <v>46198</v>
      </c>
      <c r="D24" t="inlineStr">
        <is>
          <t>STOCKHOLMS LÄN</t>
        </is>
      </c>
      <c r="E24" t="inlineStr">
        <is>
          <t>HANINGE</t>
        </is>
      </c>
      <c r="G24" t="n">
        <v>2.3</v>
      </c>
      <c r="H24" t="n">
        <v>1</v>
      </c>
      <c r="I24" t="n">
        <v>0</v>
      </c>
      <c r="J24" t="n">
        <v>0</v>
      </c>
      <c r="K24" t="n">
        <v>0</v>
      </c>
      <c r="L24" t="n">
        <v>0</v>
      </c>
      <c r="M24" t="n">
        <v>0</v>
      </c>
      <c r="N24" t="n">
        <v>0</v>
      </c>
      <c r="O24" t="n">
        <v>0</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6648-2023</t>
        </is>
      </c>
      <c r="B25" s="1" t="n">
        <v>44966</v>
      </c>
      <c r="C25" s="1" t="n">
        <v>46198</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c r="Z25">
        <f>HYPERLINK("https://klasma.github.io/Logging_0136/fåglar/A 6648-2023 prioriterade fågelarter.docx", "A 6648-2023")</f>
        <v/>
      </c>
    </row>
    <row r="26" ht="15" customHeight="1">
      <c r="A26" t="inlineStr">
        <is>
          <t>A 60369-2023</t>
        </is>
      </c>
      <c r="B26" s="1" t="n">
        <v>45259</v>
      </c>
      <c r="C26" s="1" t="n">
        <v>46198</v>
      </c>
      <c r="D26" t="inlineStr">
        <is>
          <t>STOCKHOLMS LÄN</t>
        </is>
      </c>
      <c r="E26" t="inlineStr">
        <is>
          <t>HANINGE</t>
        </is>
      </c>
      <c r="G26" t="n">
        <v>2.9</v>
      </c>
      <c r="H26" t="n">
        <v>1</v>
      </c>
      <c r="I26" t="n">
        <v>0</v>
      </c>
      <c r="J26" t="n">
        <v>0</v>
      </c>
      <c r="K26" t="n">
        <v>0</v>
      </c>
      <c r="L26" t="n">
        <v>0</v>
      </c>
      <c r="M26" t="n">
        <v>0</v>
      </c>
      <c r="N26" t="n">
        <v>0</v>
      </c>
      <c r="O26" t="n">
        <v>0</v>
      </c>
      <c r="P26" t="n">
        <v>0</v>
      </c>
      <c r="Q26" t="n">
        <v>1</v>
      </c>
      <c r="R26" s="2" t="inlineStr">
        <is>
          <t>Mattlummer</t>
        </is>
      </c>
      <c r="S26">
        <f>HYPERLINK("https://klasma.github.io/Logging_0136/artfynd/A 60369-2023 artfynd.xlsx", "A 60369-2023")</f>
        <v/>
      </c>
      <c r="T26">
        <f>HYPERLINK("https://klasma.github.io/Logging_0136/kartor/A 60369-2023 karta.png", "A 60369-2023")</f>
        <v/>
      </c>
      <c r="V26">
        <f>HYPERLINK("https://klasma.github.io/Logging_0136/klagomål/A 60369-2023 FSC-klagomål.docx", "A 60369-2023")</f>
        <v/>
      </c>
      <c r="W26">
        <f>HYPERLINK("https://klasma.github.io/Logging_0136/klagomålsmail/A 60369-2023 FSC-klagomål mail.docx", "A 60369-2023")</f>
        <v/>
      </c>
      <c r="X26">
        <f>HYPERLINK("https://klasma.github.io/Logging_0136/tillsyn/A 60369-2023 tillsynsbegäran.docx", "A 60369-2023")</f>
        <v/>
      </c>
      <c r="Y26">
        <f>HYPERLINK("https://klasma.github.io/Logging_0136/tillsynsmail/A 60369-2023 tillsynsbegäran mail.docx", "A 60369-2023")</f>
        <v/>
      </c>
    </row>
    <row r="27" ht="15" customHeight="1">
      <c r="A27" t="inlineStr">
        <is>
          <t>A 41259-2022</t>
        </is>
      </c>
      <c r="B27" s="1" t="n">
        <v>44825</v>
      </c>
      <c r="C27" s="1" t="n">
        <v>46198</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46198</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46198</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46198</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46198</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46198</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46198</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46198</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46198</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46198</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46198</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30419-2022</t>
        </is>
      </c>
      <c r="B38" s="1" t="n">
        <v>44761</v>
      </c>
      <c r="C38" s="1" t="n">
        <v>46198</v>
      </c>
      <c r="D38" t="inlineStr">
        <is>
          <t>STOCKHOLMS LÄN</t>
        </is>
      </c>
      <c r="E38" t="inlineStr">
        <is>
          <t>HANINGE</t>
        </is>
      </c>
      <c r="G38" t="n">
        <v>7.4</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46198</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46198</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9946-2024</t>
        </is>
      </c>
      <c r="B41" s="1" t="n">
        <v>45363</v>
      </c>
      <c r="C41" s="1" t="n">
        <v>46198</v>
      </c>
      <c r="D41" t="inlineStr">
        <is>
          <t>STOCKHOLMS LÄN</t>
        </is>
      </c>
      <c r="E41" t="inlineStr">
        <is>
          <t>HANINGE</t>
        </is>
      </c>
      <c r="G41" t="n">
        <v>3.8</v>
      </c>
      <c r="H41" t="n">
        <v>0</v>
      </c>
      <c r="I41" t="n">
        <v>0</v>
      </c>
      <c r="J41" t="n">
        <v>0</v>
      </c>
      <c r="K41" t="n">
        <v>0</v>
      </c>
      <c r="L41" t="n">
        <v>0</v>
      </c>
      <c r="M41" t="n">
        <v>0</v>
      </c>
      <c r="N41" t="n">
        <v>0</v>
      </c>
      <c r="O41" t="n">
        <v>0</v>
      </c>
      <c r="P41" t="n">
        <v>0</v>
      </c>
      <c r="Q41" t="n">
        <v>0</v>
      </c>
      <c r="R41" s="2" t="inlineStr"/>
    </row>
    <row r="42" ht="15" customHeight="1">
      <c r="A42" t="inlineStr">
        <is>
          <t>A 4297-2024</t>
        </is>
      </c>
      <c r="B42" s="1" t="n">
        <v>45324</v>
      </c>
      <c r="C42" s="1" t="n">
        <v>46198</v>
      </c>
      <c r="D42" t="inlineStr">
        <is>
          <t>STOCKHOLMS LÄN</t>
        </is>
      </c>
      <c r="E42" t="inlineStr">
        <is>
          <t>HANINGE</t>
        </is>
      </c>
      <c r="F42" t="inlineStr">
        <is>
          <t>Kommuner</t>
        </is>
      </c>
      <c r="G42" t="n">
        <v>0.4</v>
      </c>
      <c r="H42" t="n">
        <v>0</v>
      </c>
      <c r="I42" t="n">
        <v>0</v>
      </c>
      <c r="J42" t="n">
        <v>0</v>
      </c>
      <c r="K42" t="n">
        <v>0</v>
      </c>
      <c r="L42" t="n">
        <v>0</v>
      </c>
      <c r="M42" t="n">
        <v>0</v>
      </c>
      <c r="N42" t="n">
        <v>0</v>
      </c>
      <c r="O42" t="n">
        <v>0</v>
      </c>
      <c r="P42" t="n">
        <v>0</v>
      </c>
      <c r="Q42" t="n">
        <v>0</v>
      </c>
      <c r="R42" s="2" t="inlineStr"/>
    </row>
    <row r="43" ht="15" customHeight="1">
      <c r="A43" t="inlineStr">
        <is>
          <t>A 41809-2021</t>
        </is>
      </c>
      <c r="B43" s="1" t="n">
        <v>44425</v>
      </c>
      <c r="C43" s="1" t="n">
        <v>46198</v>
      </c>
      <c r="D43" t="inlineStr">
        <is>
          <t>STOCKHOLMS LÄN</t>
        </is>
      </c>
      <c r="E43" t="inlineStr">
        <is>
          <t>HANINGE</t>
        </is>
      </c>
      <c r="G43" t="n">
        <v>0.9</v>
      </c>
      <c r="H43" t="n">
        <v>0</v>
      </c>
      <c r="I43" t="n">
        <v>0</v>
      </c>
      <c r="J43" t="n">
        <v>0</v>
      </c>
      <c r="K43" t="n">
        <v>0</v>
      </c>
      <c r="L43" t="n">
        <v>0</v>
      </c>
      <c r="M43" t="n">
        <v>0</v>
      </c>
      <c r="N43" t="n">
        <v>0</v>
      </c>
      <c r="O43" t="n">
        <v>0</v>
      </c>
      <c r="P43" t="n">
        <v>0</v>
      </c>
      <c r="Q43" t="n">
        <v>0</v>
      </c>
      <c r="R43" s="2" t="inlineStr"/>
    </row>
    <row r="44" ht="15" customHeight="1">
      <c r="A44" t="inlineStr">
        <is>
          <t>A 13046-2022</t>
        </is>
      </c>
      <c r="B44" s="1" t="n">
        <v>44643</v>
      </c>
      <c r="C44" s="1" t="n">
        <v>46198</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row>
    <row r="45" ht="15" customHeight="1">
      <c r="A45" t="inlineStr">
        <is>
          <t>A 50306-2023</t>
        </is>
      </c>
      <c r="B45" s="1" t="n">
        <v>45209</v>
      </c>
      <c r="C45" s="1" t="n">
        <v>46198</v>
      </c>
      <c r="D45" t="inlineStr">
        <is>
          <t>STOCKHOLMS LÄN</t>
        </is>
      </c>
      <c r="E45" t="inlineStr">
        <is>
          <t>HANINGE</t>
        </is>
      </c>
      <c r="G45" t="n">
        <v>2.3</v>
      </c>
      <c r="H45" t="n">
        <v>0</v>
      </c>
      <c r="I45" t="n">
        <v>0</v>
      </c>
      <c r="J45" t="n">
        <v>0</v>
      </c>
      <c r="K45" t="n">
        <v>0</v>
      </c>
      <c r="L45" t="n">
        <v>0</v>
      </c>
      <c r="M45" t="n">
        <v>0</v>
      </c>
      <c r="N45" t="n">
        <v>0</v>
      </c>
      <c r="O45" t="n">
        <v>0</v>
      </c>
      <c r="P45" t="n">
        <v>0</v>
      </c>
      <c r="Q45" t="n">
        <v>0</v>
      </c>
      <c r="R45" s="2" t="inlineStr"/>
      <c r="U45">
        <f>HYPERLINK("https://klasma.github.io/Logging_0136/knärot/A 50306-2023 karta knärot.png", "A 50306-2023")</f>
        <v/>
      </c>
      <c r="V45">
        <f>HYPERLINK("https://klasma.github.io/Logging_0136/klagomål/A 50306-2023 FSC-klagomål.docx", "A 50306-2023")</f>
        <v/>
      </c>
      <c r="W45">
        <f>HYPERLINK("https://klasma.github.io/Logging_0136/klagomålsmail/A 50306-2023 FSC-klagomål mail.docx", "A 50306-2023")</f>
        <v/>
      </c>
      <c r="X45">
        <f>HYPERLINK("https://klasma.github.io/Logging_0136/tillsyn/A 50306-2023 tillsynsbegäran.docx", "A 50306-2023")</f>
        <v/>
      </c>
      <c r="Y45">
        <f>HYPERLINK("https://klasma.github.io/Logging_0136/tillsynsmail/A 50306-2023 tillsynsbegäran mail.docx", "A 50306-2023")</f>
        <v/>
      </c>
    </row>
    <row r="46" ht="15" customHeight="1">
      <c r="A46" t="inlineStr">
        <is>
          <t>A 22288-2023</t>
        </is>
      </c>
      <c r="B46" s="1" t="n">
        <v>45070</v>
      </c>
      <c r="C46" s="1" t="n">
        <v>46198</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38595-2021</t>
        </is>
      </c>
      <c r="B47" s="1" t="n">
        <v>44407</v>
      </c>
      <c r="C47" s="1" t="n">
        <v>46198</v>
      </c>
      <c r="D47" t="inlineStr">
        <is>
          <t>STOCKHOLMS LÄN</t>
        </is>
      </c>
      <c r="E47" t="inlineStr">
        <is>
          <t>HANINGE</t>
        </is>
      </c>
      <c r="G47" t="n">
        <v>1.1</v>
      </c>
      <c r="H47" t="n">
        <v>0</v>
      </c>
      <c r="I47" t="n">
        <v>0</v>
      </c>
      <c r="J47" t="n">
        <v>0</v>
      </c>
      <c r="K47" t="n">
        <v>0</v>
      </c>
      <c r="L47" t="n">
        <v>0</v>
      </c>
      <c r="M47" t="n">
        <v>0</v>
      </c>
      <c r="N47" t="n">
        <v>0</v>
      </c>
      <c r="O47" t="n">
        <v>0</v>
      </c>
      <c r="P47" t="n">
        <v>0</v>
      </c>
      <c r="Q47" t="n">
        <v>0</v>
      </c>
      <c r="R47" s="2" t="inlineStr"/>
    </row>
    <row r="48" ht="15" customHeight="1">
      <c r="A48" t="inlineStr">
        <is>
          <t>A 18512-2024</t>
        </is>
      </c>
      <c r="B48" s="1" t="n">
        <v>45425</v>
      </c>
      <c r="C48" s="1" t="n">
        <v>46198</v>
      </c>
      <c r="D48" t="inlineStr">
        <is>
          <t>STOCKHOLMS LÄN</t>
        </is>
      </c>
      <c r="E48" t="inlineStr">
        <is>
          <t>HANINGE</t>
        </is>
      </c>
      <c r="F48" t="inlineStr">
        <is>
          <t>Kommuner</t>
        </is>
      </c>
      <c r="G48" t="n">
        <v>0.7</v>
      </c>
      <c r="H48" t="n">
        <v>0</v>
      </c>
      <c r="I48" t="n">
        <v>0</v>
      </c>
      <c r="J48" t="n">
        <v>0</v>
      </c>
      <c r="K48" t="n">
        <v>0</v>
      </c>
      <c r="L48" t="n">
        <v>0</v>
      </c>
      <c r="M48" t="n">
        <v>0</v>
      </c>
      <c r="N48" t="n">
        <v>0</v>
      </c>
      <c r="O48" t="n">
        <v>0</v>
      </c>
      <c r="P48" t="n">
        <v>0</v>
      </c>
      <c r="Q48" t="n">
        <v>0</v>
      </c>
      <c r="R48" s="2" t="inlineStr"/>
    </row>
    <row r="49" ht="15" customHeight="1">
      <c r="A49" t="inlineStr">
        <is>
          <t>A 32948-2025</t>
        </is>
      </c>
      <c r="B49" s="1" t="n">
        <v>45839</v>
      </c>
      <c r="C49" s="1" t="n">
        <v>46198</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48606-2025</t>
        </is>
      </c>
      <c r="B50" s="1" t="n">
        <v>45936</v>
      </c>
      <c r="C50" s="1" t="n">
        <v>46198</v>
      </c>
      <c r="D50" t="inlineStr">
        <is>
          <t>STOCKHOLMS LÄN</t>
        </is>
      </c>
      <c r="E50" t="inlineStr">
        <is>
          <t>HANINGE</t>
        </is>
      </c>
      <c r="G50" t="n">
        <v>6.9</v>
      </c>
      <c r="H50" t="n">
        <v>0</v>
      </c>
      <c r="I50" t="n">
        <v>0</v>
      </c>
      <c r="J50" t="n">
        <v>0</v>
      </c>
      <c r="K50" t="n">
        <v>0</v>
      </c>
      <c r="L50" t="n">
        <v>0</v>
      </c>
      <c r="M50" t="n">
        <v>0</v>
      </c>
      <c r="N50" t="n">
        <v>0</v>
      </c>
      <c r="O50" t="n">
        <v>0</v>
      </c>
      <c r="P50" t="n">
        <v>0</v>
      </c>
      <c r="Q50" t="n">
        <v>0</v>
      </c>
      <c r="R50" s="2" t="inlineStr"/>
    </row>
    <row r="51" ht="15" customHeight="1">
      <c r="A51" t="inlineStr">
        <is>
          <t>A 18528-2024</t>
        </is>
      </c>
      <c r="B51" s="1" t="n">
        <v>45425</v>
      </c>
      <c r="C51" s="1" t="n">
        <v>46198</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52770-2024</t>
        </is>
      </c>
      <c r="B52" s="1" t="n">
        <v>45610</v>
      </c>
      <c r="C52" s="1" t="n">
        <v>46198</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row>
    <row r="53" ht="15" customHeight="1">
      <c r="A53" t="inlineStr">
        <is>
          <t>A 18490-2025</t>
        </is>
      </c>
      <c r="B53" s="1" t="n">
        <v>45763</v>
      </c>
      <c r="C53" s="1" t="n">
        <v>46198</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26886-2026</t>
        </is>
      </c>
      <c r="B54" s="1" t="n">
        <v>46185</v>
      </c>
      <c r="C54" s="1" t="n">
        <v>46198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18548-2024</t>
        </is>
      </c>
      <c r="B55" s="1" t="n">
        <v>45425</v>
      </c>
      <c r="C55" s="1" t="n">
        <v>46198</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v>
      </c>
      <c r="C56" s="1" t="n">
        <v>46198</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26417-2026</t>
        </is>
      </c>
      <c r="B57" s="1" t="n">
        <v>46183</v>
      </c>
      <c r="C57" s="1" t="n">
        <v>46198</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5474-2024</t>
        </is>
      </c>
      <c r="B58" s="1" t="n">
        <v>45333</v>
      </c>
      <c r="C58" s="1" t="n">
        <v>46198</v>
      </c>
      <c r="D58" t="inlineStr">
        <is>
          <t>STOCKHOLMS LÄN</t>
        </is>
      </c>
      <c r="E58" t="inlineStr">
        <is>
          <t>HANINGE</t>
        </is>
      </c>
      <c r="F58" t="inlineStr">
        <is>
          <t>Kommuner</t>
        </is>
      </c>
      <c r="G58" t="n">
        <v>0.9</v>
      </c>
      <c r="H58" t="n">
        <v>0</v>
      </c>
      <c r="I58" t="n">
        <v>0</v>
      </c>
      <c r="J58" t="n">
        <v>0</v>
      </c>
      <c r="K58" t="n">
        <v>0</v>
      </c>
      <c r="L58" t="n">
        <v>0</v>
      </c>
      <c r="M58" t="n">
        <v>0</v>
      </c>
      <c r="N58" t="n">
        <v>0</v>
      </c>
      <c r="O58" t="n">
        <v>0</v>
      </c>
      <c r="P58" t="n">
        <v>0</v>
      </c>
      <c r="Q58" t="n">
        <v>0</v>
      </c>
      <c r="R58" s="2" t="inlineStr"/>
    </row>
    <row r="59" ht="15" customHeight="1">
      <c r="A59" t="inlineStr">
        <is>
          <t>A 23666-2024</t>
        </is>
      </c>
      <c r="B59" s="1" t="n">
        <v>45454</v>
      </c>
      <c r="C59" s="1" t="n">
        <v>46198</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46198</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59569-2025</t>
        </is>
      </c>
      <c r="B61" s="1" t="n">
        <v>45991</v>
      </c>
      <c r="C61" s="1" t="n">
        <v>46198</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33792-2023</t>
        </is>
      </c>
      <c r="B62" s="1" t="n">
        <v>45121</v>
      </c>
      <c r="C62" s="1" t="n">
        <v>46198</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14900-2025</t>
        </is>
      </c>
      <c r="B63" s="1" t="n">
        <v>45743</v>
      </c>
      <c r="C63" s="1" t="n">
        <v>46198</v>
      </c>
      <c r="D63" t="inlineStr">
        <is>
          <t>STOCKHOLMS LÄN</t>
        </is>
      </c>
      <c r="E63" t="inlineStr">
        <is>
          <t>HANINGE</t>
        </is>
      </c>
      <c r="G63" t="n">
        <v>4.5</v>
      </c>
      <c r="H63" t="n">
        <v>0</v>
      </c>
      <c r="I63" t="n">
        <v>0</v>
      </c>
      <c r="J63" t="n">
        <v>0</v>
      </c>
      <c r="K63" t="n">
        <v>0</v>
      </c>
      <c r="L63" t="n">
        <v>0</v>
      </c>
      <c r="M63" t="n">
        <v>0</v>
      </c>
      <c r="N63" t="n">
        <v>0</v>
      </c>
      <c r="O63" t="n">
        <v>0</v>
      </c>
      <c r="P63" t="n">
        <v>0</v>
      </c>
      <c r="Q63" t="n">
        <v>0</v>
      </c>
      <c r="R63" s="2" t="inlineStr"/>
    </row>
    <row r="64" ht="15" customHeight="1">
      <c r="A64" t="inlineStr">
        <is>
          <t>A 20527-2025</t>
        </is>
      </c>
      <c r="B64" s="1" t="n">
        <v>45775</v>
      </c>
      <c r="C64" s="1" t="n">
        <v>46198</v>
      </c>
      <c r="D64" t="inlineStr">
        <is>
          <t>STOCKHOLMS LÄN</t>
        </is>
      </c>
      <c r="E64" t="inlineStr">
        <is>
          <t>HANINGE</t>
        </is>
      </c>
      <c r="G64" t="n">
        <v>2.1</v>
      </c>
      <c r="H64" t="n">
        <v>0</v>
      </c>
      <c r="I64" t="n">
        <v>0</v>
      </c>
      <c r="J64" t="n">
        <v>0</v>
      </c>
      <c r="K64" t="n">
        <v>0</v>
      </c>
      <c r="L64" t="n">
        <v>0</v>
      </c>
      <c r="M64" t="n">
        <v>0</v>
      </c>
      <c r="N64" t="n">
        <v>0</v>
      </c>
      <c r="O64" t="n">
        <v>0</v>
      </c>
      <c r="P64" t="n">
        <v>0</v>
      </c>
      <c r="Q64" t="n">
        <v>0</v>
      </c>
      <c r="R64" s="2" t="inlineStr"/>
    </row>
    <row r="65" ht="15" customHeight="1">
      <c r="A65" t="inlineStr">
        <is>
          <t>A 64568-2023</t>
        </is>
      </c>
      <c r="B65" s="1" t="n">
        <v>45281</v>
      </c>
      <c r="C65" s="1" t="n">
        <v>46198</v>
      </c>
      <c r="D65" t="inlineStr">
        <is>
          <t>STOCKHOLMS LÄN</t>
        </is>
      </c>
      <c r="E65" t="inlineStr">
        <is>
          <t>HANINGE</t>
        </is>
      </c>
      <c r="G65" t="n">
        <v>3.1</v>
      </c>
      <c r="H65" t="n">
        <v>0</v>
      </c>
      <c r="I65" t="n">
        <v>0</v>
      </c>
      <c r="J65" t="n">
        <v>0</v>
      </c>
      <c r="K65" t="n">
        <v>0</v>
      </c>
      <c r="L65" t="n">
        <v>0</v>
      </c>
      <c r="M65" t="n">
        <v>0</v>
      </c>
      <c r="N65" t="n">
        <v>0</v>
      </c>
      <c r="O65" t="n">
        <v>0</v>
      </c>
      <c r="P65" t="n">
        <v>0</v>
      </c>
      <c r="Q65" t="n">
        <v>0</v>
      </c>
      <c r="R65" s="2" t="inlineStr"/>
    </row>
    <row r="66" ht="15" customHeight="1">
      <c r="A66" t="inlineStr">
        <is>
          <t>A 1180-2024</t>
        </is>
      </c>
      <c r="B66" s="1" t="n">
        <v>45302</v>
      </c>
      <c r="C66" s="1" t="n">
        <v>46198</v>
      </c>
      <c r="D66" t="inlineStr">
        <is>
          <t>STOCKHOLMS LÄN</t>
        </is>
      </c>
      <c r="E66" t="inlineStr">
        <is>
          <t>HANINGE</t>
        </is>
      </c>
      <c r="G66" t="n">
        <v>2</v>
      </c>
      <c r="H66" t="n">
        <v>0</v>
      </c>
      <c r="I66" t="n">
        <v>0</v>
      </c>
      <c r="J66" t="n">
        <v>0</v>
      </c>
      <c r="K66" t="n">
        <v>0</v>
      </c>
      <c r="L66" t="n">
        <v>0</v>
      </c>
      <c r="M66" t="n">
        <v>0</v>
      </c>
      <c r="N66" t="n">
        <v>0</v>
      </c>
      <c r="O66" t="n">
        <v>0</v>
      </c>
      <c r="P66" t="n">
        <v>0</v>
      </c>
      <c r="Q66" t="n">
        <v>0</v>
      </c>
      <c r="R66" s="2" t="inlineStr"/>
    </row>
    <row r="67" ht="15" customHeight="1">
      <c r="A67" t="inlineStr">
        <is>
          <t>A 24873-2023</t>
        </is>
      </c>
      <c r="B67" s="1" t="n">
        <v>45085</v>
      </c>
      <c r="C67" s="1" t="n">
        <v>46198</v>
      </c>
      <c r="D67" t="inlineStr">
        <is>
          <t>STOCKHOLMS LÄN</t>
        </is>
      </c>
      <c r="E67" t="inlineStr">
        <is>
          <t>HANINGE</t>
        </is>
      </c>
      <c r="G67" t="n">
        <v>1.9</v>
      </c>
      <c r="H67" t="n">
        <v>0</v>
      </c>
      <c r="I67" t="n">
        <v>0</v>
      </c>
      <c r="J67" t="n">
        <v>0</v>
      </c>
      <c r="K67" t="n">
        <v>0</v>
      </c>
      <c r="L67" t="n">
        <v>0</v>
      </c>
      <c r="M67" t="n">
        <v>0</v>
      </c>
      <c r="N67" t="n">
        <v>0</v>
      </c>
      <c r="O67" t="n">
        <v>0</v>
      </c>
      <c r="P67" t="n">
        <v>0</v>
      </c>
      <c r="Q67" t="n">
        <v>0</v>
      </c>
      <c r="R67" s="2" t="inlineStr"/>
    </row>
    <row r="68" ht="15" customHeight="1">
      <c r="A68" t="inlineStr">
        <is>
          <t>A 58599-2023</t>
        </is>
      </c>
      <c r="B68" s="1" t="n">
        <v>45251</v>
      </c>
      <c r="C68" s="1" t="n">
        <v>46198</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52836-2024</t>
        </is>
      </c>
      <c r="B69" s="1" t="n">
        <v>45610</v>
      </c>
      <c r="C69" s="1" t="n">
        <v>46198</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8078-2024</t>
        </is>
      </c>
      <c r="B70" s="1" t="n">
        <v>45351</v>
      </c>
      <c r="C70" s="1" t="n">
        <v>46198</v>
      </c>
      <c r="D70" t="inlineStr">
        <is>
          <t>STOCKHOLMS LÄN</t>
        </is>
      </c>
      <c r="E70" t="inlineStr">
        <is>
          <t>HANINGE</t>
        </is>
      </c>
      <c r="F70" t="inlineStr">
        <is>
          <t>Kommuner</t>
        </is>
      </c>
      <c r="G70" t="n">
        <v>1.4</v>
      </c>
      <c r="H70" t="n">
        <v>0</v>
      </c>
      <c r="I70" t="n">
        <v>0</v>
      </c>
      <c r="J70" t="n">
        <v>0</v>
      </c>
      <c r="K70" t="n">
        <v>0</v>
      </c>
      <c r="L70" t="n">
        <v>0</v>
      </c>
      <c r="M70" t="n">
        <v>0</v>
      </c>
      <c r="N70" t="n">
        <v>0</v>
      </c>
      <c r="O70" t="n">
        <v>0</v>
      </c>
      <c r="P70" t="n">
        <v>0</v>
      </c>
      <c r="Q70" t="n">
        <v>0</v>
      </c>
      <c r="R70" s="2" t="inlineStr"/>
    </row>
    <row r="71" ht="15" customHeight="1">
      <c r="A71" t="inlineStr">
        <is>
          <t>A 12787-2026</t>
        </is>
      </c>
      <c r="B71" s="1" t="n">
        <v>46091</v>
      </c>
      <c r="C71" s="1" t="n">
        <v>46198</v>
      </c>
      <c r="D71" t="inlineStr">
        <is>
          <t>STOCKHOLMS LÄN</t>
        </is>
      </c>
      <c r="E71" t="inlineStr">
        <is>
          <t>HANINGE</t>
        </is>
      </c>
      <c r="G71" t="n">
        <v>4</v>
      </c>
      <c r="H71" t="n">
        <v>0</v>
      </c>
      <c r="I71" t="n">
        <v>0</v>
      </c>
      <c r="J71" t="n">
        <v>0</v>
      </c>
      <c r="K71" t="n">
        <v>0</v>
      </c>
      <c r="L71" t="n">
        <v>0</v>
      </c>
      <c r="M71" t="n">
        <v>0</v>
      </c>
      <c r="N71" t="n">
        <v>0</v>
      </c>
      <c r="O71" t="n">
        <v>0</v>
      </c>
      <c r="P71" t="n">
        <v>0</v>
      </c>
      <c r="Q71" t="n">
        <v>0</v>
      </c>
      <c r="R71" s="2" t="inlineStr"/>
    </row>
    <row r="72" ht="15" customHeight="1">
      <c r="A72" t="inlineStr">
        <is>
          <t>A 12782-2026</t>
        </is>
      </c>
      <c r="B72" s="1" t="n">
        <v>46091</v>
      </c>
      <c r="C72" s="1" t="n">
        <v>46198</v>
      </c>
      <c r="D72" t="inlineStr">
        <is>
          <t>STOCKHOLMS LÄN</t>
        </is>
      </c>
      <c r="E72" t="inlineStr">
        <is>
          <t>HANINGE</t>
        </is>
      </c>
      <c r="G72" t="n">
        <v>2.3</v>
      </c>
      <c r="H72" t="n">
        <v>0</v>
      </c>
      <c r="I72" t="n">
        <v>0</v>
      </c>
      <c r="J72" t="n">
        <v>0</v>
      </c>
      <c r="K72" t="n">
        <v>0</v>
      </c>
      <c r="L72" t="n">
        <v>0</v>
      </c>
      <c r="M72" t="n">
        <v>0</v>
      </c>
      <c r="N72" t="n">
        <v>0</v>
      </c>
      <c r="O72" t="n">
        <v>0</v>
      </c>
      <c r="P72" t="n">
        <v>0</v>
      </c>
      <c r="Q72" t="n">
        <v>0</v>
      </c>
      <c r="R72" s="2" t="inlineStr"/>
    </row>
    <row r="73" ht="15" customHeight="1">
      <c r="A73" t="inlineStr">
        <is>
          <t>A 19220-2023</t>
        </is>
      </c>
      <c r="B73" s="1" t="n">
        <v>45048</v>
      </c>
      <c r="C73" s="1" t="n">
        <v>46198</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46198</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3156-2025</t>
        </is>
      </c>
      <c r="B75" s="1" t="n">
        <v>45679</v>
      </c>
      <c r="C75" s="1" t="n">
        <v>46198</v>
      </c>
      <c r="D75" t="inlineStr">
        <is>
          <t>STOCKHOLMS LÄN</t>
        </is>
      </c>
      <c r="E75" t="inlineStr">
        <is>
          <t>HANINGE</t>
        </is>
      </c>
      <c r="G75" t="n">
        <v>3.3</v>
      </c>
      <c r="H75" t="n">
        <v>0</v>
      </c>
      <c r="I75" t="n">
        <v>0</v>
      </c>
      <c r="J75" t="n">
        <v>0</v>
      </c>
      <c r="K75" t="n">
        <v>0</v>
      </c>
      <c r="L75" t="n">
        <v>0</v>
      </c>
      <c r="M75" t="n">
        <v>0</v>
      </c>
      <c r="N75" t="n">
        <v>0</v>
      </c>
      <c r="O75" t="n">
        <v>0</v>
      </c>
      <c r="P75" t="n">
        <v>0</v>
      </c>
      <c r="Q75" t="n">
        <v>0</v>
      </c>
      <c r="R75" s="2" t="inlineStr"/>
    </row>
    <row r="76" ht="15" customHeight="1">
      <c r="A76" t="inlineStr">
        <is>
          <t>A 17765-2024</t>
        </is>
      </c>
      <c r="B76" s="1" t="n">
        <v>45418</v>
      </c>
      <c r="C76" s="1" t="n">
        <v>46198</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24800-2026</t>
        </is>
      </c>
      <c r="B77" s="1" t="n">
        <v>46171</v>
      </c>
      <c r="C77" s="1" t="n">
        <v>46198</v>
      </c>
      <c r="D77" t="inlineStr">
        <is>
          <t>STOCKHOLMS LÄN</t>
        </is>
      </c>
      <c r="E77" t="inlineStr">
        <is>
          <t>HANINGE</t>
        </is>
      </c>
      <c r="G77" t="n">
        <v>0.4</v>
      </c>
      <c r="H77" t="n">
        <v>0</v>
      </c>
      <c r="I77" t="n">
        <v>0</v>
      </c>
      <c r="J77" t="n">
        <v>0</v>
      </c>
      <c r="K77" t="n">
        <v>0</v>
      </c>
      <c r="L77" t="n">
        <v>0</v>
      </c>
      <c r="M77" t="n">
        <v>0</v>
      </c>
      <c r="N77" t="n">
        <v>0</v>
      </c>
      <c r="O77" t="n">
        <v>0</v>
      </c>
      <c r="P77" t="n">
        <v>0</v>
      </c>
      <c r="Q77" t="n">
        <v>0</v>
      </c>
      <c r="R77" s="2" t="inlineStr"/>
    </row>
    <row r="78" ht="15" customHeight="1">
      <c r="A78" t="inlineStr">
        <is>
          <t>A 24801-2026</t>
        </is>
      </c>
      <c r="B78" s="1" t="n">
        <v>46171</v>
      </c>
      <c r="C78" s="1" t="n">
        <v>46198</v>
      </c>
      <c r="D78" t="inlineStr">
        <is>
          <t>STOCKHOLMS LÄN</t>
        </is>
      </c>
      <c r="E78" t="inlineStr">
        <is>
          <t>HANINGE</t>
        </is>
      </c>
      <c r="G78" t="n">
        <v>7.1</v>
      </c>
      <c r="H78" t="n">
        <v>0</v>
      </c>
      <c r="I78" t="n">
        <v>0</v>
      </c>
      <c r="J78" t="n">
        <v>0</v>
      </c>
      <c r="K78" t="n">
        <v>0</v>
      </c>
      <c r="L78" t="n">
        <v>0</v>
      </c>
      <c r="M78" t="n">
        <v>0</v>
      </c>
      <c r="N78" t="n">
        <v>0</v>
      </c>
      <c r="O78" t="n">
        <v>0</v>
      </c>
      <c r="P78" t="n">
        <v>0</v>
      </c>
      <c r="Q78" t="n">
        <v>0</v>
      </c>
      <c r="R78" s="2" t="inlineStr"/>
    </row>
    <row r="79" ht="15" customHeight="1">
      <c r="A79" t="inlineStr">
        <is>
          <t>A 68894-2021</t>
        </is>
      </c>
      <c r="B79" s="1" t="n">
        <v>44526</v>
      </c>
      <c r="C79" s="1" t="n">
        <v>46198</v>
      </c>
      <c r="D79" t="inlineStr">
        <is>
          <t>STOCKHOLMS LÄN</t>
        </is>
      </c>
      <c r="E79" t="inlineStr">
        <is>
          <t>HANINGE</t>
        </is>
      </c>
      <c r="G79" t="n">
        <v>1.2</v>
      </c>
      <c r="H79" t="n">
        <v>0</v>
      </c>
      <c r="I79" t="n">
        <v>0</v>
      </c>
      <c r="J79" t="n">
        <v>0</v>
      </c>
      <c r="K79" t="n">
        <v>0</v>
      </c>
      <c r="L79" t="n">
        <v>0</v>
      </c>
      <c r="M79" t="n">
        <v>0</v>
      </c>
      <c r="N79" t="n">
        <v>0</v>
      </c>
      <c r="O79" t="n">
        <v>0</v>
      </c>
      <c r="P79" t="n">
        <v>0</v>
      </c>
      <c r="Q79" t="n">
        <v>0</v>
      </c>
      <c r="R79" s="2" t="inlineStr"/>
    </row>
    <row r="80" ht="15" customHeight="1">
      <c r="A80" t="inlineStr">
        <is>
          <t>A 18491-2025</t>
        </is>
      </c>
      <c r="B80" s="1" t="n">
        <v>45763</v>
      </c>
      <c r="C80" s="1" t="n">
        <v>46198</v>
      </c>
      <c r="D80" t="inlineStr">
        <is>
          <t>STOCKHOLMS LÄN</t>
        </is>
      </c>
      <c r="E80" t="inlineStr">
        <is>
          <t>HANINGE</t>
        </is>
      </c>
      <c r="G80" t="n">
        <v>0.5</v>
      </c>
      <c r="H80" t="n">
        <v>0</v>
      </c>
      <c r="I80" t="n">
        <v>0</v>
      </c>
      <c r="J80" t="n">
        <v>0</v>
      </c>
      <c r="K80" t="n">
        <v>0</v>
      </c>
      <c r="L80" t="n">
        <v>0</v>
      </c>
      <c r="M80" t="n">
        <v>0</v>
      </c>
      <c r="N80" t="n">
        <v>0</v>
      </c>
      <c r="O80" t="n">
        <v>0</v>
      </c>
      <c r="P80" t="n">
        <v>0</v>
      </c>
      <c r="Q80" t="n">
        <v>0</v>
      </c>
      <c r="R80" s="2" t="inlineStr"/>
    </row>
    <row r="81" ht="15" customHeight="1">
      <c r="A81" t="inlineStr">
        <is>
          <t>A 24193-2025</t>
        </is>
      </c>
      <c r="B81" s="1" t="n">
        <v>45796</v>
      </c>
      <c r="C81" s="1" t="n">
        <v>46198</v>
      </c>
      <c r="D81" t="inlineStr">
        <is>
          <t>STOCKHOLMS LÄN</t>
        </is>
      </c>
      <c r="E81" t="inlineStr">
        <is>
          <t>HANINGE</t>
        </is>
      </c>
      <c r="G81" t="n">
        <v>0.4</v>
      </c>
      <c r="H81" t="n">
        <v>0</v>
      </c>
      <c r="I81" t="n">
        <v>0</v>
      </c>
      <c r="J81" t="n">
        <v>0</v>
      </c>
      <c r="K81" t="n">
        <v>0</v>
      </c>
      <c r="L81" t="n">
        <v>0</v>
      </c>
      <c r="M81" t="n">
        <v>0</v>
      </c>
      <c r="N81" t="n">
        <v>0</v>
      </c>
      <c r="O81" t="n">
        <v>0</v>
      </c>
      <c r="P81" t="n">
        <v>0</v>
      </c>
      <c r="Q81" t="n">
        <v>0</v>
      </c>
      <c r="R81" s="2" t="inlineStr"/>
    </row>
    <row r="82" ht="15" customHeight="1">
      <c r="A82" t="inlineStr">
        <is>
          <t>A 64075-2023</t>
        </is>
      </c>
      <c r="B82" s="1" t="n">
        <v>45279</v>
      </c>
      <c r="C82" s="1" t="n">
        <v>46198</v>
      </c>
      <c r="D82" t="inlineStr">
        <is>
          <t>STOCKHOLMS LÄN</t>
        </is>
      </c>
      <c r="E82" t="inlineStr">
        <is>
          <t>HANINGE</t>
        </is>
      </c>
      <c r="G82" t="n">
        <v>2.6</v>
      </c>
      <c r="H82" t="n">
        <v>0</v>
      </c>
      <c r="I82" t="n">
        <v>0</v>
      </c>
      <c r="J82" t="n">
        <v>0</v>
      </c>
      <c r="K82" t="n">
        <v>0</v>
      </c>
      <c r="L82" t="n">
        <v>0</v>
      </c>
      <c r="M82" t="n">
        <v>0</v>
      </c>
      <c r="N82" t="n">
        <v>0</v>
      </c>
      <c r="O82" t="n">
        <v>0</v>
      </c>
      <c r="P82" t="n">
        <v>0</v>
      </c>
      <c r="Q82" t="n">
        <v>0</v>
      </c>
      <c r="R82" s="2" t="inlineStr"/>
    </row>
    <row r="83" ht="15" customHeight="1">
      <c r="A83" t="inlineStr">
        <is>
          <t>A 27596-2025</t>
        </is>
      </c>
      <c r="B83" s="1" t="n">
        <v>45813</v>
      </c>
      <c r="C83" s="1" t="n">
        <v>46198</v>
      </c>
      <c r="D83" t="inlineStr">
        <is>
          <t>STOCKHOLMS LÄN</t>
        </is>
      </c>
      <c r="E83" t="inlineStr">
        <is>
          <t>HANINGE</t>
        </is>
      </c>
      <c r="G83" t="n">
        <v>0.1</v>
      </c>
      <c r="H83" t="n">
        <v>0</v>
      </c>
      <c r="I83" t="n">
        <v>0</v>
      </c>
      <c r="J83" t="n">
        <v>0</v>
      </c>
      <c r="K83" t="n">
        <v>0</v>
      </c>
      <c r="L83" t="n">
        <v>0</v>
      </c>
      <c r="M83" t="n">
        <v>0</v>
      </c>
      <c r="N83" t="n">
        <v>0</v>
      </c>
      <c r="O83" t="n">
        <v>0</v>
      </c>
      <c r="P83" t="n">
        <v>0</v>
      </c>
      <c r="Q83" t="n">
        <v>0</v>
      </c>
      <c r="R83" s="2" t="inlineStr"/>
    </row>
    <row r="84">
      <c r="A84" t="inlineStr">
        <is>
          <t>A 14264-2025</t>
        </is>
      </c>
      <c r="B84" s="1" t="n">
        <v>45740</v>
      </c>
      <c r="C84" s="1" t="n">
        <v>46198</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2026-06-25T00:46:33Z</dcterms:created>
  <dcterms:modified xmlns:dcterms="http://purl.org/dc/terms/" xmlns:xsi="http://www.w3.org/2001/XMLSchema-instance" xsi:type="dcterms:W3CDTF">2026-06-25T00:46:33Z</dcterms:modified>
</cp:coreProperties>
</file>