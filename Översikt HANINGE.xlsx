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46094</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46094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46094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46094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46094</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46094</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46094</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46094</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46094</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46094</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46094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46094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46094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46094</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46094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46094</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46094</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46094</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46094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46094</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46094</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46094</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46094</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46094</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46094</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46094</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46094</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46094</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46094</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46094</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46094</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46094</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46094</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46094</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46094</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37000-2022</t>
        </is>
      </c>
      <c r="B37" s="1" t="n">
        <v>44806</v>
      </c>
      <c r="C37" s="1" t="n">
        <v>46094</v>
      </c>
      <c r="D37" t="inlineStr">
        <is>
          <t>STOCKHOLMS LÄN</t>
        </is>
      </c>
      <c r="E37" t="inlineStr">
        <is>
          <t>HANINGE</t>
        </is>
      </c>
      <c r="F37" t="inlineStr">
        <is>
          <t>Övriga statliga verk och myndigheter</t>
        </is>
      </c>
      <c r="G37" t="n">
        <v>2</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46094</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46094</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43709-2021</t>
        </is>
      </c>
      <c r="B40" s="1" t="n">
        <v>44433.62136574074</v>
      </c>
      <c r="C40" s="1" t="n">
        <v>46094</v>
      </c>
      <c r="D40" t="inlineStr">
        <is>
          <t>STOCKHOLMS LÄN</t>
        </is>
      </c>
      <c r="E40" t="inlineStr">
        <is>
          <t>HANINGE</t>
        </is>
      </c>
      <c r="G40" t="n">
        <v>4</v>
      </c>
      <c r="H40" t="n">
        <v>0</v>
      </c>
      <c r="I40" t="n">
        <v>0</v>
      </c>
      <c r="J40" t="n">
        <v>0</v>
      </c>
      <c r="K40" t="n">
        <v>0</v>
      </c>
      <c r="L40" t="n">
        <v>0</v>
      </c>
      <c r="M40" t="n">
        <v>0</v>
      </c>
      <c r="N40" t="n">
        <v>0</v>
      </c>
      <c r="O40" t="n">
        <v>0</v>
      </c>
      <c r="P40" t="n">
        <v>0</v>
      </c>
      <c r="Q40" t="n">
        <v>0</v>
      </c>
      <c r="R40" s="2" t="inlineStr"/>
    </row>
    <row r="41" ht="15" customHeight="1">
      <c r="A41" t="inlineStr">
        <is>
          <t>A 9946-2024</t>
        </is>
      </c>
      <c r="B41" s="1" t="n">
        <v>45363.59789351852</v>
      </c>
      <c r="C41" s="1" t="n">
        <v>46094</v>
      </c>
      <c r="D41" t="inlineStr">
        <is>
          <t>STOCKHOLMS LÄN</t>
        </is>
      </c>
      <c r="E41" t="inlineStr">
        <is>
          <t>HANINGE</t>
        </is>
      </c>
      <c r="G41" t="n">
        <v>3.8</v>
      </c>
      <c r="H41" t="n">
        <v>0</v>
      </c>
      <c r="I41" t="n">
        <v>0</v>
      </c>
      <c r="J41" t="n">
        <v>0</v>
      </c>
      <c r="K41" t="n">
        <v>0</v>
      </c>
      <c r="L41" t="n">
        <v>0</v>
      </c>
      <c r="M41" t="n">
        <v>0</v>
      </c>
      <c r="N41" t="n">
        <v>0</v>
      </c>
      <c r="O41" t="n">
        <v>0</v>
      </c>
      <c r="P41" t="n">
        <v>0</v>
      </c>
      <c r="Q41" t="n">
        <v>0</v>
      </c>
      <c r="R41" s="2" t="inlineStr"/>
    </row>
    <row r="42" ht="15" customHeight="1">
      <c r="A42" t="inlineStr">
        <is>
          <t>A 4297-2024</t>
        </is>
      </c>
      <c r="B42" s="1" t="n">
        <v>45324.62291666667</v>
      </c>
      <c r="C42" s="1" t="n">
        <v>46094</v>
      </c>
      <c r="D42" t="inlineStr">
        <is>
          <t>STOCKHOLMS LÄN</t>
        </is>
      </c>
      <c r="E42" t="inlineStr">
        <is>
          <t>HANINGE</t>
        </is>
      </c>
      <c r="F42" t="inlineStr">
        <is>
          <t>Kommuner</t>
        </is>
      </c>
      <c r="G42" t="n">
        <v>0.4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46094</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21231-2025</t>
        </is>
      </c>
      <c r="B44" s="1" t="n">
        <v>45779.54644675926</v>
      </c>
      <c r="C44" s="1" t="n">
        <v>46094</v>
      </c>
      <c r="D44" t="inlineStr">
        <is>
          <t>STOCKHOLMS LÄN</t>
        </is>
      </c>
      <c r="E44" t="inlineStr">
        <is>
          <t>HANINGE</t>
        </is>
      </c>
      <c r="G44" t="n">
        <v>4.3</v>
      </c>
      <c r="H44" t="n">
        <v>0</v>
      </c>
      <c r="I44" t="n">
        <v>0</v>
      </c>
      <c r="J44" t="n">
        <v>0</v>
      </c>
      <c r="K44" t="n">
        <v>0</v>
      </c>
      <c r="L44" t="n">
        <v>0</v>
      </c>
      <c r="M44" t="n">
        <v>0</v>
      </c>
      <c r="N44" t="n">
        <v>0</v>
      </c>
      <c r="O44" t="n">
        <v>0</v>
      </c>
      <c r="P44" t="n">
        <v>0</v>
      </c>
      <c r="Q44" t="n">
        <v>0</v>
      </c>
      <c r="R44" s="2" t="inlineStr"/>
    </row>
    <row r="45" ht="15" customHeight="1">
      <c r="A45" t="inlineStr">
        <is>
          <t>A 6648-2023</t>
        </is>
      </c>
      <c r="B45" s="1" t="n">
        <v>44966</v>
      </c>
      <c r="C45" s="1" t="n">
        <v>46094</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33792-2023</t>
        </is>
      </c>
      <c r="B46" s="1" t="n">
        <v>45121</v>
      </c>
      <c r="C46" s="1" t="n">
        <v>46094</v>
      </c>
      <c r="D46" t="inlineStr">
        <is>
          <t>STOCKHOLMS LÄN</t>
        </is>
      </c>
      <c r="E46" t="inlineStr">
        <is>
          <t>HANINGE</t>
        </is>
      </c>
      <c r="G46" t="n">
        <v>1.4</v>
      </c>
      <c r="H46" t="n">
        <v>0</v>
      </c>
      <c r="I46" t="n">
        <v>0</v>
      </c>
      <c r="J46" t="n">
        <v>0</v>
      </c>
      <c r="K46" t="n">
        <v>0</v>
      </c>
      <c r="L46" t="n">
        <v>0</v>
      </c>
      <c r="M46" t="n">
        <v>0</v>
      </c>
      <c r="N46" t="n">
        <v>0</v>
      </c>
      <c r="O46" t="n">
        <v>0</v>
      </c>
      <c r="P46" t="n">
        <v>0</v>
      </c>
      <c r="Q46" t="n">
        <v>0</v>
      </c>
      <c r="R46" s="2" t="inlineStr"/>
    </row>
    <row r="47" ht="15" customHeight="1">
      <c r="A47" t="inlineStr">
        <is>
          <t>A 14900-2025</t>
        </is>
      </c>
      <c r="B47" s="1" t="n">
        <v>45743.48729166666</v>
      </c>
      <c r="C47" s="1" t="n">
        <v>46094</v>
      </c>
      <c r="D47" t="inlineStr">
        <is>
          <t>STOCKHOLMS LÄN</t>
        </is>
      </c>
      <c r="E47" t="inlineStr">
        <is>
          <t>HANINGE</t>
        </is>
      </c>
      <c r="G47" t="n">
        <v>4.5</v>
      </c>
      <c r="H47" t="n">
        <v>0</v>
      </c>
      <c r="I47" t="n">
        <v>0</v>
      </c>
      <c r="J47" t="n">
        <v>0</v>
      </c>
      <c r="K47" t="n">
        <v>0</v>
      </c>
      <c r="L47" t="n">
        <v>0</v>
      </c>
      <c r="M47" t="n">
        <v>0</v>
      </c>
      <c r="N47" t="n">
        <v>0</v>
      </c>
      <c r="O47" t="n">
        <v>0</v>
      </c>
      <c r="P47" t="n">
        <v>0</v>
      </c>
      <c r="Q47" t="n">
        <v>0</v>
      </c>
      <c r="R47" s="2" t="inlineStr"/>
    </row>
    <row r="48" ht="15" customHeight="1">
      <c r="A48" t="inlineStr">
        <is>
          <t>A 41809-2021</t>
        </is>
      </c>
      <c r="B48" s="1" t="n">
        <v>44425</v>
      </c>
      <c r="C48" s="1" t="n">
        <v>46094</v>
      </c>
      <c r="D48" t="inlineStr">
        <is>
          <t>STOCKHOLMS LÄN</t>
        </is>
      </c>
      <c r="E48" t="inlineStr">
        <is>
          <t>HANINGE</t>
        </is>
      </c>
      <c r="G48" t="n">
        <v>0.9</v>
      </c>
      <c r="H48" t="n">
        <v>0</v>
      </c>
      <c r="I48" t="n">
        <v>0</v>
      </c>
      <c r="J48" t="n">
        <v>0</v>
      </c>
      <c r="K48" t="n">
        <v>0</v>
      </c>
      <c r="L48" t="n">
        <v>0</v>
      </c>
      <c r="M48" t="n">
        <v>0</v>
      </c>
      <c r="N48" t="n">
        <v>0</v>
      </c>
      <c r="O48" t="n">
        <v>0</v>
      </c>
      <c r="P48" t="n">
        <v>0</v>
      </c>
      <c r="Q48" t="n">
        <v>0</v>
      </c>
      <c r="R48" s="2" t="inlineStr"/>
    </row>
    <row r="49" ht="15" customHeight="1">
      <c r="A49" t="inlineStr">
        <is>
          <t>A 20527-2025</t>
        </is>
      </c>
      <c r="B49" s="1" t="n">
        <v>45775.60663194444</v>
      </c>
      <c r="C49" s="1" t="n">
        <v>46094</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64568-2023</t>
        </is>
      </c>
      <c r="B50" s="1" t="n">
        <v>45281.43164351852</v>
      </c>
      <c r="C50" s="1" t="n">
        <v>46094</v>
      </c>
      <c r="D50" t="inlineStr">
        <is>
          <t>STOCKHOLMS LÄN</t>
        </is>
      </c>
      <c r="E50" t="inlineStr">
        <is>
          <t>HANINGE</t>
        </is>
      </c>
      <c r="G50" t="n">
        <v>3.1</v>
      </c>
      <c r="H50" t="n">
        <v>0</v>
      </c>
      <c r="I50" t="n">
        <v>0</v>
      </c>
      <c r="J50" t="n">
        <v>0</v>
      </c>
      <c r="K50" t="n">
        <v>0</v>
      </c>
      <c r="L50" t="n">
        <v>0</v>
      </c>
      <c r="M50" t="n">
        <v>0</v>
      </c>
      <c r="N50" t="n">
        <v>0</v>
      </c>
      <c r="O50" t="n">
        <v>0</v>
      </c>
      <c r="P50" t="n">
        <v>0</v>
      </c>
      <c r="Q50" t="n">
        <v>0</v>
      </c>
      <c r="R50" s="2" t="inlineStr"/>
    </row>
    <row r="51" ht="15" customHeight="1">
      <c r="A51" t="inlineStr">
        <is>
          <t>A 41266-2022</t>
        </is>
      </c>
      <c r="B51" s="1" t="n">
        <v>44825</v>
      </c>
      <c r="C51" s="1" t="n">
        <v>46094</v>
      </c>
      <c r="D51" t="inlineStr">
        <is>
          <t>STOCKHOLMS LÄN</t>
        </is>
      </c>
      <c r="E51" t="inlineStr">
        <is>
          <t>HANINGE</t>
        </is>
      </c>
      <c r="F51" t="inlineStr">
        <is>
          <t>Övriga statliga verk och myndigheter</t>
        </is>
      </c>
      <c r="G51" t="n">
        <v>1.6</v>
      </c>
      <c r="H51" t="n">
        <v>0</v>
      </c>
      <c r="I51" t="n">
        <v>0</v>
      </c>
      <c r="J51" t="n">
        <v>0</v>
      </c>
      <c r="K51" t="n">
        <v>0</v>
      </c>
      <c r="L51" t="n">
        <v>0</v>
      </c>
      <c r="M51" t="n">
        <v>0</v>
      </c>
      <c r="N51" t="n">
        <v>0</v>
      </c>
      <c r="O51" t="n">
        <v>0</v>
      </c>
      <c r="P51" t="n">
        <v>0</v>
      </c>
      <c r="Q51" t="n">
        <v>0</v>
      </c>
      <c r="R51" s="2" t="inlineStr"/>
    </row>
    <row r="52" ht="15" customHeight="1">
      <c r="A52" t="inlineStr">
        <is>
          <t>A 1180-2024</t>
        </is>
      </c>
      <c r="B52" s="1" t="n">
        <v>45302</v>
      </c>
      <c r="C52" s="1" t="n">
        <v>46094</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24873-2023</t>
        </is>
      </c>
      <c r="B53" s="1" t="n">
        <v>45085</v>
      </c>
      <c r="C53" s="1" t="n">
        <v>46094</v>
      </c>
      <c r="D53" t="inlineStr">
        <is>
          <t>STOCKHOLMS LÄN</t>
        </is>
      </c>
      <c r="E53" t="inlineStr">
        <is>
          <t>HANINGE</t>
        </is>
      </c>
      <c r="G53" t="n">
        <v>1.9</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46094</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38880-2025</t>
        </is>
      </c>
      <c r="B55" s="1" t="n">
        <v>45887.57966435186</v>
      </c>
      <c r="C55" s="1" t="n">
        <v>46094</v>
      </c>
      <c r="D55" t="inlineStr">
        <is>
          <t>STOCKHOLMS LÄN</t>
        </is>
      </c>
      <c r="E55" t="inlineStr">
        <is>
          <t>HANINGE</t>
        </is>
      </c>
      <c r="G55" t="n">
        <v>3.2</v>
      </c>
      <c r="H55" t="n">
        <v>0</v>
      </c>
      <c r="I55" t="n">
        <v>0</v>
      </c>
      <c r="J55" t="n">
        <v>0</v>
      </c>
      <c r="K55" t="n">
        <v>0</v>
      </c>
      <c r="L55" t="n">
        <v>0</v>
      </c>
      <c r="M55" t="n">
        <v>0</v>
      </c>
      <c r="N55" t="n">
        <v>0</v>
      </c>
      <c r="O55" t="n">
        <v>0</v>
      </c>
      <c r="P55" t="n">
        <v>0</v>
      </c>
      <c r="Q55" t="n">
        <v>0</v>
      </c>
      <c r="R55" s="2" t="inlineStr"/>
    </row>
    <row r="56" ht="15" customHeight="1">
      <c r="A56" t="inlineStr">
        <is>
          <t>A 24191-2025</t>
        </is>
      </c>
      <c r="B56" s="1" t="n">
        <v>45796.86738425926</v>
      </c>
      <c r="C56" s="1" t="n">
        <v>46094</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24193-2025</t>
        </is>
      </c>
      <c r="B57" s="1" t="n">
        <v>45796.89591435185</v>
      </c>
      <c r="C57" s="1" t="n">
        <v>46094</v>
      </c>
      <c r="D57" t="inlineStr">
        <is>
          <t>STOCKHOLMS LÄN</t>
        </is>
      </c>
      <c r="E57" t="inlineStr">
        <is>
          <t>HANINGE</t>
        </is>
      </c>
      <c r="G57" t="n">
        <v>0.4</v>
      </c>
      <c r="H57" t="n">
        <v>0</v>
      </c>
      <c r="I57" t="n">
        <v>0</v>
      </c>
      <c r="J57" t="n">
        <v>0</v>
      </c>
      <c r="K57" t="n">
        <v>0</v>
      </c>
      <c r="L57" t="n">
        <v>0</v>
      </c>
      <c r="M57" t="n">
        <v>0</v>
      </c>
      <c r="N57" t="n">
        <v>0</v>
      </c>
      <c r="O57" t="n">
        <v>0</v>
      </c>
      <c r="P57" t="n">
        <v>0</v>
      </c>
      <c r="Q57" t="n">
        <v>0</v>
      </c>
      <c r="R57" s="2" t="inlineStr"/>
    </row>
    <row r="58" ht="15" customHeight="1">
      <c r="A58" t="inlineStr">
        <is>
          <t>A 58599-2023</t>
        </is>
      </c>
      <c r="B58" s="1" t="n">
        <v>45251.47721064815</v>
      </c>
      <c r="C58" s="1" t="n">
        <v>46094</v>
      </c>
      <c r="D58" t="inlineStr">
        <is>
          <t>STOCKHOLMS LÄN</t>
        </is>
      </c>
      <c r="E58" t="inlineStr">
        <is>
          <t>HANINGE</t>
        </is>
      </c>
      <c r="G58" t="n">
        <v>3.2</v>
      </c>
      <c r="H58" t="n">
        <v>0</v>
      </c>
      <c r="I58" t="n">
        <v>0</v>
      </c>
      <c r="J58" t="n">
        <v>0</v>
      </c>
      <c r="K58" t="n">
        <v>0</v>
      </c>
      <c r="L58" t="n">
        <v>0</v>
      </c>
      <c r="M58" t="n">
        <v>0</v>
      </c>
      <c r="N58" t="n">
        <v>0</v>
      </c>
      <c r="O58" t="n">
        <v>0</v>
      </c>
      <c r="P58" t="n">
        <v>0</v>
      </c>
      <c r="Q58" t="n">
        <v>0</v>
      </c>
      <c r="R58" s="2" t="inlineStr"/>
    </row>
    <row r="59" ht="15" customHeight="1">
      <c r="A59" t="inlineStr">
        <is>
          <t>A 24115-2025</t>
        </is>
      </c>
      <c r="B59" s="1" t="n">
        <v>45796.61494212963</v>
      </c>
      <c r="C59" s="1" t="n">
        <v>46094</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64075-2023</t>
        </is>
      </c>
      <c r="B60" s="1" t="n">
        <v>45279</v>
      </c>
      <c r="C60" s="1" t="n">
        <v>46094</v>
      </c>
      <c r="D60" t="inlineStr">
        <is>
          <t>STOCKHOLMS LÄN</t>
        </is>
      </c>
      <c r="E60" t="inlineStr">
        <is>
          <t>HANINGE</t>
        </is>
      </c>
      <c r="G60" t="n">
        <v>2.6</v>
      </c>
      <c r="H60" t="n">
        <v>0</v>
      </c>
      <c r="I60" t="n">
        <v>0</v>
      </c>
      <c r="J60" t="n">
        <v>0</v>
      </c>
      <c r="K60" t="n">
        <v>0</v>
      </c>
      <c r="L60" t="n">
        <v>0</v>
      </c>
      <c r="M60" t="n">
        <v>0</v>
      </c>
      <c r="N60" t="n">
        <v>0</v>
      </c>
      <c r="O60" t="n">
        <v>0</v>
      </c>
      <c r="P60" t="n">
        <v>0</v>
      </c>
      <c r="Q60" t="n">
        <v>0</v>
      </c>
      <c r="R60" s="2" t="inlineStr"/>
    </row>
    <row r="61" ht="15" customHeight="1">
      <c r="A61" t="inlineStr">
        <is>
          <t>A 50306-2023</t>
        </is>
      </c>
      <c r="B61" s="1" t="n">
        <v>45209</v>
      </c>
      <c r="C61" s="1" t="n">
        <v>46094</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c r="U61">
        <f>HYPERLINK("https://klasma.github.io/Logging_0136/knärot/A 50306-2023 karta knärot.png", "A 50306-2023")</f>
        <v/>
      </c>
      <c r="V61">
        <f>HYPERLINK("https://klasma.github.io/Logging_0136/klagomål/A 50306-2023 FSC-klagomål.docx", "A 50306-2023")</f>
        <v/>
      </c>
      <c r="W61">
        <f>HYPERLINK("https://klasma.github.io/Logging_0136/klagomålsmail/A 50306-2023 FSC-klagomål mail.docx", "A 50306-2023")</f>
        <v/>
      </c>
      <c r="X61">
        <f>HYPERLINK("https://klasma.github.io/Logging_0136/tillsyn/A 50306-2023 tillsynsbegäran.docx", "A 50306-2023")</f>
        <v/>
      </c>
      <c r="Y61">
        <f>HYPERLINK("https://klasma.github.io/Logging_0136/tillsynsmail/A 50306-2023 tillsynsbegäran mail.docx", "A 50306-2023")</f>
        <v/>
      </c>
    </row>
    <row r="62" ht="15" customHeight="1">
      <c r="A62" t="inlineStr">
        <is>
          <t>A 52836-2024</t>
        </is>
      </c>
      <c r="B62" s="1" t="n">
        <v>45610.59637731482</v>
      </c>
      <c r="C62" s="1" t="n">
        <v>46094</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22288-2023</t>
        </is>
      </c>
      <c r="B63" s="1" t="n">
        <v>45070</v>
      </c>
      <c r="C63" s="1" t="n">
        <v>46094</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8163-2024</t>
        </is>
      </c>
      <c r="B64" s="1" t="n">
        <v>45351.60337962963</v>
      </c>
      <c r="C64" s="1" t="n">
        <v>46094</v>
      </c>
      <c r="D64" t="inlineStr">
        <is>
          <t>STOCKHOLMS LÄN</t>
        </is>
      </c>
      <c r="E64" t="inlineStr">
        <is>
          <t>HANINGE</t>
        </is>
      </c>
      <c r="F64" t="inlineStr">
        <is>
          <t>Kommuner</t>
        </is>
      </c>
      <c r="G64" t="n">
        <v>3.8</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46094</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27596-2025</t>
        </is>
      </c>
      <c r="B66" s="1" t="n">
        <v>45813.52303240741</v>
      </c>
      <c r="C66" s="1" t="n">
        <v>46094</v>
      </c>
      <c r="D66" t="inlineStr">
        <is>
          <t>STOCKHOLMS LÄN</t>
        </is>
      </c>
      <c r="E66" t="inlineStr">
        <is>
          <t>HANINGE</t>
        </is>
      </c>
      <c r="G66" t="n">
        <v>0.1</v>
      </c>
      <c r="H66" t="n">
        <v>0</v>
      </c>
      <c r="I66" t="n">
        <v>0</v>
      </c>
      <c r="J66" t="n">
        <v>0</v>
      </c>
      <c r="K66" t="n">
        <v>0</v>
      </c>
      <c r="L66" t="n">
        <v>0</v>
      </c>
      <c r="M66" t="n">
        <v>0</v>
      </c>
      <c r="N66" t="n">
        <v>0</v>
      </c>
      <c r="O66" t="n">
        <v>0</v>
      </c>
      <c r="P66" t="n">
        <v>0</v>
      </c>
      <c r="Q66" t="n">
        <v>0</v>
      </c>
      <c r="R66" s="2" t="inlineStr"/>
    </row>
    <row r="67" ht="15" customHeight="1">
      <c r="A67" t="inlineStr">
        <is>
          <t>A 8078-2024</t>
        </is>
      </c>
      <c r="B67" s="1" t="n">
        <v>45351.43737268518</v>
      </c>
      <c r="C67" s="1" t="n">
        <v>46094</v>
      </c>
      <c r="D67" t="inlineStr">
        <is>
          <t>STOCKHOLMS LÄN</t>
        </is>
      </c>
      <c r="E67" t="inlineStr">
        <is>
          <t>HANINGE</t>
        </is>
      </c>
      <c r="F67" t="inlineStr">
        <is>
          <t>Kommuner</t>
        </is>
      </c>
      <c r="G67" t="n">
        <v>1.4</v>
      </c>
      <c r="H67" t="n">
        <v>0</v>
      </c>
      <c r="I67" t="n">
        <v>0</v>
      </c>
      <c r="J67" t="n">
        <v>0</v>
      </c>
      <c r="K67" t="n">
        <v>0</v>
      </c>
      <c r="L67" t="n">
        <v>0</v>
      </c>
      <c r="M67" t="n">
        <v>0</v>
      </c>
      <c r="N67" t="n">
        <v>0</v>
      </c>
      <c r="O67" t="n">
        <v>0</v>
      </c>
      <c r="P67" t="n">
        <v>0</v>
      </c>
      <c r="Q67" t="n">
        <v>0</v>
      </c>
      <c r="R67" s="2" t="inlineStr"/>
    </row>
    <row r="68" ht="15" customHeight="1">
      <c r="A68" t="inlineStr">
        <is>
          <t>A 32952-2025</t>
        </is>
      </c>
      <c r="B68" s="1" t="n">
        <v>45839.69278935185</v>
      </c>
      <c r="C68" s="1" t="n">
        <v>46094</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32954-2025</t>
        </is>
      </c>
      <c r="B69" s="1" t="n">
        <v>45839.70034722222</v>
      </c>
      <c r="C69" s="1" t="n">
        <v>46094</v>
      </c>
      <c r="D69" t="inlineStr">
        <is>
          <t>STOCKHOLMS LÄN</t>
        </is>
      </c>
      <c r="E69" t="inlineStr">
        <is>
          <t>HANINGE</t>
        </is>
      </c>
      <c r="G69" t="n">
        <v>1.6</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46094</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46094</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18512-2024</t>
        </is>
      </c>
      <c r="B72" s="1" t="n">
        <v>45425.59938657407</v>
      </c>
      <c r="C72" s="1" t="n">
        <v>46094</v>
      </c>
      <c r="D72" t="inlineStr">
        <is>
          <t>STOCKHOLMS LÄN</t>
        </is>
      </c>
      <c r="E72" t="inlineStr">
        <is>
          <t>HANINGE</t>
        </is>
      </c>
      <c r="F72" t="inlineStr">
        <is>
          <t>Kommuner</t>
        </is>
      </c>
      <c r="G72" t="n">
        <v>0.7</v>
      </c>
      <c r="H72" t="n">
        <v>0</v>
      </c>
      <c r="I72" t="n">
        <v>0</v>
      </c>
      <c r="J72" t="n">
        <v>0</v>
      </c>
      <c r="K72" t="n">
        <v>0</v>
      </c>
      <c r="L72" t="n">
        <v>0</v>
      </c>
      <c r="M72" t="n">
        <v>0</v>
      </c>
      <c r="N72" t="n">
        <v>0</v>
      </c>
      <c r="O72" t="n">
        <v>0</v>
      </c>
      <c r="P72" t="n">
        <v>0</v>
      </c>
      <c r="Q72" t="n">
        <v>0</v>
      </c>
      <c r="R72" s="2" t="inlineStr"/>
    </row>
    <row r="73" ht="15" customHeight="1">
      <c r="A73" t="inlineStr">
        <is>
          <t>A 3156-2025</t>
        </is>
      </c>
      <c r="B73" s="1" t="n">
        <v>45679.32142361111</v>
      </c>
      <c r="C73" s="1" t="n">
        <v>46094</v>
      </c>
      <c r="D73" t="inlineStr">
        <is>
          <t>STOCKHOLMS LÄN</t>
        </is>
      </c>
      <c r="E73" t="inlineStr">
        <is>
          <t>HANINGE</t>
        </is>
      </c>
      <c r="G73" t="n">
        <v>3.3</v>
      </c>
      <c r="H73" t="n">
        <v>0</v>
      </c>
      <c r="I73" t="n">
        <v>0</v>
      </c>
      <c r="J73" t="n">
        <v>0</v>
      </c>
      <c r="K73" t="n">
        <v>0</v>
      </c>
      <c r="L73" t="n">
        <v>0</v>
      </c>
      <c r="M73" t="n">
        <v>0</v>
      </c>
      <c r="N73" t="n">
        <v>0</v>
      </c>
      <c r="O73" t="n">
        <v>0</v>
      </c>
      <c r="P73" t="n">
        <v>0</v>
      </c>
      <c r="Q73" t="n">
        <v>0</v>
      </c>
      <c r="R73" s="2" t="inlineStr"/>
    </row>
    <row r="74" ht="15" customHeight="1">
      <c r="A74" t="inlineStr">
        <is>
          <t>A 32948-2025</t>
        </is>
      </c>
      <c r="B74" s="1" t="n">
        <v>45839</v>
      </c>
      <c r="C74" s="1" t="n">
        <v>46094</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46094</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46094</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14264-2025</t>
        </is>
      </c>
      <c r="B77" s="1" t="n">
        <v>45740.6340162037</v>
      </c>
      <c r="C77" s="1" t="n">
        <v>46094</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52770-2024</t>
        </is>
      </c>
      <c r="B78" s="1" t="n">
        <v>45610.52414351852</v>
      </c>
      <c r="C78" s="1" t="n">
        <v>46094</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46094</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46094</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18491-2025</t>
        </is>
      </c>
      <c r="B81" s="1" t="n">
        <v>45763.34135416667</v>
      </c>
      <c r="C81" s="1" t="n">
        <v>46094</v>
      </c>
      <c r="D81" t="inlineStr">
        <is>
          <t>STOCKHOLMS LÄN</t>
        </is>
      </c>
      <c r="E81" t="inlineStr">
        <is>
          <t>HANINGE</t>
        </is>
      </c>
      <c r="G81" t="n">
        <v>0.5</v>
      </c>
      <c r="H81" t="n">
        <v>0</v>
      </c>
      <c r="I81" t="n">
        <v>0</v>
      </c>
      <c r="J81" t="n">
        <v>0</v>
      </c>
      <c r="K81" t="n">
        <v>0</v>
      </c>
      <c r="L81" t="n">
        <v>0</v>
      </c>
      <c r="M81" t="n">
        <v>0</v>
      </c>
      <c r="N81" t="n">
        <v>0</v>
      </c>
      <c r="O81" t="n">
        <v>0</v>
      </c>
      <c r="P81" t="n">
        <v>0</v>
      </c>
      <c r="Q81" t="n">
        <v>0</v>
      </c>
      <c r="R81" s="2" t="inlineStr"/>
    </row>
    <row r="82" ht="15" customHeight="1">
      <c r="A82" t="inlineStr">
        <is>
          <t>A 1187-2024</t>
        </is>
      </c>
      <c r="B82" s="1" t="n">
        <v>45302.58045138889</v>
      </c>
      <c r="C82" s="1" t="n">
        <v>46094</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52773-2024</t>
        </is>
      </c>
      <c r="B83" s="1" t="n">
        <v>45610.53207175926</v>
      </c>
      <c r="C83" s="1" t="n">
        <v>46094</v>
      </c>
      <c r="D83" t="inlineStr">
        <is>
          <t>STOCKHOLMS LÄN</t>
        </is>
      </c>
      <c r="E83" t="inlineStr">
        <is>
          <t>HANINGE</t>
        </is>
      </c>
      <c r="G83" t="n">
        <v>0.7</v>
      </c>
      <c r="H83" t="n">
        <v>0</v>
      </c>
      <c r="I83" t="n">
        <v>0</v>
      </c>
      <c r="J83" t="n">
        <v>0</v>
      </c>
      <c r="K83" t="n">
        <v>0</v>
      </c>
      <c r="L83" t="n">
        <v>0</v>
      </c>
      <c r="M83" t="n">
        <v>0</v>
      </c>
      <c r="N83" t="n">
        <v>0</v>
      </c>
      <c r="O83" t="n">
        <v>0</v>
      </c>
      <c r="P83" t="n">
        <v>0</v>
      </c>
      <c r="Q83" t="n">
        <v>0</v>
      </c>
      <c r="R83" s="2" t="inlineStr"/>
    </row>
    <row r="84" ht="15" customHeight="1">
      <c r="A84" t="inlineStr">
        <is>
          <t>A 18528-2024</t>
        </is>
      </c>
      <c r="B84" s="1" t="n">
        <v>45425.61965277778</v>
      </c>
      <c r="C84" s="1" t="n">
        <v>46094</v>
      </c>
      <c r="D84" t="inlineStr">
        <is>
          <t>STOCKHOLMS LÄN</t>
        </is>
      </c>
      <c r="E84" t="inlineStr">
        <is>
          <t>HANINGE</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46094</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18490-2025</t>
        </is>
      </c>
      <c r="B86" s="1" t="n">
        <v>45763</v>
      </c>
      <c r="C86" s="1" t="n">
        <v>46094</v>
      </c>
      <c r="D86" t="inlineStr">
        <is>
          <t>STOCKHOLMS LÄN</t>
        </is>
      </c>
      <c r="E86" t="inlineStr">
        <is>
          <t>HANINGE</t>
        </is>
      </c>
      <c r="G86" t="n">
        <v>3</v>
      </c>
      <c r="H86" t="n">
        <v>0</v>
      </c>
      <c r="I86" t="n">
        <v>0</v>
      </c>
      <c r="J86" t="n">
        <v>0</v>
      </c>
      <c r="K86" t="n">
        <v>0</v>
      </c>
      <c r="L86" t="n">
        <v>0</v>
      </c>
      <c r="M86" t="n">
        <v>0</v>
      </c>
      <c r="N86" t="n">
        <v>0</v>
      </c>
      <c r="O86" t="n">
        <v>0</v>
      </c>
      <c r="P86" t="n">
        <v>0</v>
      </c>
      <c r="Q86" t="n">
        <v>0</v>
      </c>
      <c r="R86" s="2" t="inlineStr"/>
    </row>
    <row r="87" ht="15" customHeight="1">
      <c r="A87" t="inlineStr">
        <is>
          <t>A 18548-2024</t>
        </is>
      </c>
      <c r="B87" s="1" t="n">
        <v>45425.64708333334</v>
      </c>
      <c r="C87" s="1" t="n">
        <v>46094</v>
      </c>
      <c r="D87" t="inlineStr">
        <is>
          <t>STOCKHOLMS LÄN</t>
        </is>
      </c>
      <c r="E87" t="inlineStr">
        <is>
          <t>HANINGE</t>
        </is>
      </c>
      <c r="F87" t="inlineStr">
        <is>
          <t>Kommuner</t>
        </is>
      </c>
      <c r="G87" t="n">
        <v>7.3</v>
      </c>
      <c r="H87" t="n">
        <v>0</v>
      </c>
      <c r="I87" t="n">
        <v>0</v>
      </c>
      <c r="J87" t="n">
        <v>0</v>
      </c>
      <c r="K87" t="n">
        <v>0</v>
      </c>
      <c r="L87" t="n">
        <v>0</v>
      </c>
      <c r="M87" t="n">
        <v>0</v>
      </c>
      <c r="N87" t="n">
        <v>0</v>
      </c>
      <c r="O87" t="n">
        <v>0</v>
      </c>
      <c r="P87" t="n">
        <v>0</v>
      </c>
      <c r="Q87" t="n">
        <v>0</v>
      </c>
      <c r="R87" s="2" t="inlineStr"/>
    </row>
    <row r="88" ht="15" customHeight="1">
      <c r="A88" t="inlineStr">
        <is>
          <t>A 20839-2024</t>
        </is>
      </c>
      <c r="B88" s="1" t="n">
        <v>45439.39953703704</v>
      </c>
      <c r="C88" s="1" t="n">
        <v>46094</v>
      </c>
      <c r="D88" t="inlineStr">
        <is>
          <t>STOCKHOLMS LÄN</t>
        </is>
      </c>
      <c r="E88" t="inlineStr">
        <is>
          <t>HANINGE</t>
        </is>
      </c>
      <c r="G88" t="n">
        <v>8.4</v>
      </c>
      <c r="H88" t="n">
        <v>0</v>
      </c>
      <c r="I88" t="n">
        <v>0</v>
      </c>
      <c r="J88" t="n">
        <v>0</v>
      </c>
      <c r="K88" t="n">
        <v>0</v>
      </c>
      <c r="L88" t="n">
        <v>0</v>
      </c>
      <c r="M88" t="n">
        <v>0</v>
      </c>
      <c r="N88" t="n">
        <v>0</v>
      </c>
      <c r="O88" t="n">
        <v>0</v>
      </c>
      <c r="P88" t="n">
        <v>0</v>
      </c>
      <c r="Q88" t="n">
        <v>0</v>
      </c>
      <c r="R88" s="2" t="inlineStr"/>
    </row>
    <row r="89" ht="15" customHeight="1">
      <c r="A89" t="inlineStr">
        <is>
          <t>A 5474-2024</t>
        </is>
      </c>
      <c r="B89" s="1" t="n">
        <v>45333.51131944444</v>
      </c>
      <c r="C89" s="1" t="n">
        <v>46094</v>
      </c>
      <c r="D89" t="inlineStr">
        <is>
          <t>STOCKHOLMS LÄN</t>
        </is>
      </c>
      <c r="E89" t="inlineStr">
        <is>
          <t>HANINGE</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46094</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68896-2021</t>
        </is>
      </c>
      <c r="B91" s="1" t="n">
        <v>44526</v>
      </c>
      <c r="C91" s="1" t="n">
        <v>46094</v>
      </c>
      <c r="D91" t="inlineStr">
        <is>
          <t>STOCKHOLMS LÄN</t>
        </is>
      </c>
      <c r="E91" t="inlineStr">
        <is>
          <t>HANINGE</t>
        </is>
      </c>
      <c r="G91" t="n">
        <v>3.4</v>
      </c>
      <c r="H91" t="n">
        <v>0</v>
      </c>
      <c r="I91" t="n">
        <v>0</v>
      </c>
      <c r="J91" t="n">
        <v>0</v>
      </c>
      <c r="K91" t="n">
        <v>0</v>
      </c>
      <c r="L91" t="n">
        <v>0</v>
      </c>
      <c r="M91" t="n">
        <v>0</v>
      </c>
      <c r="N91" t="n">
        <v>0</v>
      </c>
      <c r="O91" t="n">
        <v>0</v>
      </c>
      <c r="P91" t="n">
        <v>0</v>
      </c>
      <c r="Q91" t="n">
        <v>0</v>
      </c>
      <c r="R91" s="2" t="inlineStr"/>
    </row>
    <row r="92" ht="15" customHeight="1">
      <c r="A92" t="inlineStr">
        <is>
          <t>A 48606-2025</t>
        </is>
      </c>
      <c r="B92" s="1" t="n">
        <v>45936.47019675926</v>
      </c>
      <c r="C92" s="1" t="n">
        <v>46094</v>
      </c>
      <c r="D92" t="inlineStr">
        <is>
          <t>STOCKHOLMS LÄN</t>
        </is>
      </c>
      <c r="E92" t="inlineStr">
        <is>
          <t>HANINGE</t>
        </is>
      </c>
      <c r="G92" t="n">
        <v>6.9</v>
      </c>
      <c r="H92" t="n">
        <v>0</v>
      </c>
      <c r="I92" t="n">
        <v>0</v>
      </c>
      <c r="J92" t="n">
        <v>0</v>
      </c>
      <c r="K92" t="n">
        <v>0</v>
      </c>
      <c r="L92" t="n">
        <v>0</v>
      </c>
      <c r="M92" t="n">
        <v>0</v>
      </c>
      <c r="N92" t="n">
        <v>0</v>
      </c>
      <c r="O92" t="n">
        <v>0</v>
      </c>
      <c r="P92" t="n">
        <v>0</v>
      </c>
      <c r="Q92" t="n">
        <v>0</v>
      </c>
      <c r="R92" s="2" t="inlineStr"/>
    </row>
    <row r="93" ht="15" customHeight="1">
      <c r="A93" t="inlineStr">
        <is>
          <t>A 59565-2025</t>
        </is>
      </c>
      <c r="B93" s="1" t="n">
        <v>45991.88413194445</v>
      </c>
      <c r="C93" s="1" t="n">
        <v>46094</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59569-2025</t>
        </is>
      </c>
      <c r="B94" s="1" t="n">
        <v>45991.92870370371</v>
      </c>
      <c r="C94" s="1" t="n">
        <v>46094</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59568-2025</t>
        </is>
      </c>
      <c r="B95" s="1" t="n">
        <v>45991.90737268519</v>
      </c>
      <c r="C95" s="1" t="n">
        <v>46094</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row r="96" ht="15" customHeight="1">
      <c r="A96" t="inlineStr">
        <is>
          <t>A 12787-2026</t>
        </is>
      </c>
      <c r="B96" s="1" t="n">
        <v>46091.85130787037</v>
      </c>
      <c r="C96" s="1" t="n">
        <v>46094</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row r="97">
      <c r="A97" t="inlineStr">
        <is>
          <t>A 12782-2026</t>
        </is>
      </c>
      <c r="B97" s="1" t="n">
        <v>46091.76701388889</v>
      </c>
      <c r="C97" s="1" t="n">
        <v>46094</v>
      </c>
      <c r="D97" t="inlineStr">
        <is>
          <t>STOCKHOLMS LÄN</t>
        </is>
      </c>
      <c r="E97" t="inlineStr">
        <is>
          <t>HANINGE</t>
        </is>
      </c>
      <c r="G97" t="n">
        <v>2.3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2026-03-13T11:22:04Z</dcterms:created>
  <dcterms:modified xmlns:dcterms="http://purl.org/dc/terms/" xmlns:xsi="http://www.w3.org/2001/XMLSchema-instance" xsi:type="dcterms:W3CDTF">2026-03-13T11:22:04Z</dcterms:modified>
</cp:coreProperties>
</file>