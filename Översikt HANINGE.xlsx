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46280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46280</v>
      </c>
      <c r="F3" t="inlineStr">
        <is>
          <t>STOCKHOLMS LÄN</t>
        </is>
      </c>
      <c r="G3" t="inlineStr">
        <is>
          <t>HANINGE</t>
        </is>
      </c>
      <c r="I3" t="n">
        <v>19.8</v>
      </c>
      <c r="J3" t="n">
        <v>17</v>
      </c>
      <c r="K3" t="n">
        <v>20</v>
      </c>
      <c r="L3" t="n">
        <v>16</v>
      </c>
      <c r="M3" t="n">
        <v>7</v>
      </c>
      <c r="N3" t="n">
        <v>0</v>
      </c>
      <c r="O3" t="n">
        <v>0</v>
      </c>
      <c r="P3" t="n">
        <v>0</v>
      </c>
      <c r="Q3" t="n">
        <v>23</v>
      </c>
      <c r="R3" t="n">
        <v>7</v>
      </c>
      <c r="S3" t="n">
        <v>53</v>
      </c>
      <c r="T3" t="n">
        <v>248</v>
      </c>
      <c r="U3" t="n">
        <v>157</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46280</v>
      </c>
      <c r="F4" t="inlineStr">
        <is>
          <t>STOCKHOLMS LÄN</t>
        </is>
      </c>
      <c r="G4" t="inlineStr">
        <is>
          <t>HANINGE</t>
        </is>
      </c>
      <c r="I4" t="n">
        <v>19.9</v>
      </c>
      <c r="J4" t="n">
        <v>16</v>
      </c>
      <c r="K4" t="n">
        <v>19</v>
      </c>
      <c r="L4" t="n">
        <v>15</v>
      </c>
      <c r="M4" t="n">
        <v>7</v>
      </c>
      <c r="N4" t="n">
        <v>0</v>
      </c>
      <c r="O4" t="n">
        <v>0</v>
      </c>
      <c r="P4" t="n">
        <v>0</v>
      </c>
      <c r="Q4" t="n">
        <v>22</v>
      </c>
      <c r="R4" t="n">
        <v>7</v>
      </c>
      <c r="S4" t="n">
        <v>52</v>
      </c>
      <c r="T4" t="n">
        <v>194</v>
      </c>
      <c r="U4" t="n">
        <v>59</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46280</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46280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46280</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46280</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46280</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46280</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46280</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46280</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46280</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46280</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46280</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46280</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46280</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46280</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46280</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46280</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46280</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46280</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46280</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46280</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46280</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46280</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46280</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32479-2026</t>
        </is>
      </c>
      <c r="B28" t="inlineStr">
        <is>
          <t>avverkningsanmälan</t>
        </is>
      </c>
      <c r="C28" t="inlineStr">
        <is>
          <t>Föryngringsavverkning</t>
        </is>
      </c>
      <c r="D28" s="1" t="n">
        <v>46239</v>
      </c>
      <c r="E28" s="1" t="n">
        <v>46280</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6648-2023</t>
        </is>
      </c>
      <c r="B29" t="inlineStr">
        <is>
          <t>avverkningsanmälan</t>
        </is>
      </c>
      <c r="C29" t="inlineStr">
        <is>
          <t>Föryngringsavverkning</t>
        </is>
      </c>
      <c r="D29" s="1" t="n">
        <v>44966</v>
      </c>
      <c r="E29" s="1" t="n">
        <v>46280</v>
      </c>
      <c r="F29" t="inlineStr">
        <is>
          <t>STOCKHOLMS LÄN</t>
        </is>
      </c>
      <c r="G29" t="inlineStr">
        <is>
          <t>HANINGE</t>
        </is>
      </c>
      <c r="I29" t="n">
        <v>4</v>
      </c>
      <c r="J29" t="n">
        <v>1</v>
      </c>
      <c r="K29" t="n">
        <v>0</v>
      </c>
      <c r="L29" t="n">
        <v>1</v>
      </c>
      <c r="M29" t="n">
        <v>0</v>
      </c>
      <c r="N29" t="n">
        <v>0</v>
      </c>
      <c r="O29" t="n">
        <v>0</v>
      </c>
      <c r="P29" t="n">
        <v>0</v>
      </c>
      <c r="Q29" t="n">
        <v>1</v>
      </c>
      <c r="R29" t="n">
        <v>0</v>
      </c>
      <c r="S29" t="n">
        <v>1</v>
      </c>
      <c r="T29" t="n">
        <v>1</v>
      </c>
      <c r="U29" t="n">
        <v>0</v>
      </c>
      <c r="V29" s="2" t="inlineStr">
        <is>
          <t>Nötkråka</t>
        </is>
      </c>
      <c r="W29">
        <f>HYPERLINK("https://klasma.github.io/Logging_0136/artfynd/A 6648-2023 artfynd.xlsx", "A 6648-2023")</f>
        <v/>
      </c>
      <c r="X29">
        <f>HYPERLINK("https://klasma.github.io/Logging_0136/kartor/A 6648-2023 karta.png", "A 6648-2023")</f>
        <v/>
      </c>
      <c r="Y29">
        <f>HYPERLINK("https://klasma.github.io/Logging_0136/kartor_geotiff/A 6648-2023 georefererad karta.tif", "A 6648-2023")</f>
        <v/>
      </c>
      <c r="AA29">
        <f>HYPERLINK("https://klasma.github.io/Logging_0136/klagomål/A 6648-2023 FSC-klagomål.docx", "A 6648-2023")</f>
        <v/>
      </c>
      <c r="AB29">
        <f>HYPERLINK("https://klasma.github.io/Logging_0136/klagomålsmail/A 6648-2023 FSC-klagomål mail.docx", "A 6648-2023")</f>
        <v/>
      </c>
      <c r="AC29">
        <f>HYPERLINK("https://klasma.github.io/Logging_0136/tillsyn/A 6648-2023 tillsynsbegäran.docx", "A 6648-2023")</f>
        <v/>
      </c>
      <c r="AD29">
        <f>HYPERLINK("https://klasma.github.io/Logging_0136/tillsynsmail/A 6648-2023 tillsynsbegäran mail.docx", "A 6648-2023")</f>
        <v/>
      </c>
      <c r="AE29">
        <f>HYPERLINK("https://klasma.github.io/Logging_0136/fåglar/A 6648-2023 prioriterade fågelarter.docx", "A 6648-2023")</f>
        <v/>
      </c>
    </row>
    <row r="30" ht="15" customHeight="1">
      <c r="A30" t="inlineStr">
        <is>
          <t>A 60369-2023</t>
        </is>
      </c>
      <c r="B30" t="inlineStr">
        <is>
          <t>avverkningsanmälan</t>
        </is>
      </c>
      <c r="C30" t="inlineStr">
        <is>
          <t>Föryngringsavverkning</t>
        </is>
      </c>
      <c r="D30" s="1" t="n">
        <v>45259</v>
      </c>
      <c r="E30" s="1" t="n">
        <v>46280</v>
      </c>
      <c r="F30" t="inlineStr">
        <is>
          <t>STOCKHOLMS LÄN</t>
        </is>
      </c>
      <c r="G30" t="inlineStr">
        <is>
          <t>HANINGE</t>
        </is>
      </c>
      <c r="I30" t="n">
        <v>2.9</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HYPERLINK("https://klasma.github.io/Logging_0136/artfynd/A 60369-2023 artfynd.xlsx", "A 60369-2023")</f>
        <v/>
      </c>
      <c r="X30">
        <f>HYPERLINK("https://klasma.github.io/Logging_0136/kartor/A 60369-2023 karta.png", "A 60369-2023")</f>
        <v/>
      </c>
      <c r="Y30">
        <f>HYPERLINK("https://klasma.github.io/Logging_0136/kartor_geotiff/A 60369-2023 georefererad karta.tif", "A 60369-2023")</f>
        <v/>
      </c>
      <c r="AA30">
        <f>HYPERLINK("https://klasma.github.io/Logging_0136/klagomål/A 60369-2023 FSC-klagomål.docx", "A 60369-2023")</f>
        <v/>
      </c>
      <c r="AB30">
        <f>HYPERLINK("https://klasma.github.io/Logging_0136/klagomålsmail/A 60369-2023 FSC-klagomål mail.docx", "A 60369-2023")</f>
        <v/>
      </c>
      <c r="AC30">
        <f>HYPERLINK("https://klasma.github.io/Logging_0136/tillsyn/A 60369-2023 tillsynsbegäran.docx", "A 60369-2023")</f>
        <v/>
      </c>
      <c r="AD30">
        <f>HYPERLINK("https://klasma.github.io/Logging_0136/tillsynsmail/A 60369-2023 tillsynsbegäran mail.docx", "A 60369-2023")</f>
        <v/>
      </c>
    </row>
    <row r="31" ht="15" customHeight="1">
      <c r="A31" t="inlineStr">
        <is>
          <t>A 41259-2022</t>
        </is>
      </c>
      <c r="B31" t="inlineStr">
        <is>
          <t>avverkningsanmälan</t>
        </is>
      </c>
      <c r="C31" t="inlineStr">
        <is>
          <t>Föryngringsavverkning</t>
        </is>
      </c>
      <c r="D31" s="1" t="n">
        <v>44825</v>
      </c>
      <c r="E31" s="1" t="n">
        <v>46280</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46280</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46280</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46280</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46280</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46280</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46280</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46280</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46280</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13135-2022</t>
        </is>
      </c>
      <c r="B40" t="inlineStr">
        <is>
          <t>avverkningsanmälan</t>
        </is>
      </c>
      <c r="C40" t="inlineStr">
        <is>
          <t>Föryngringsavverkning</t>
        </is>
      </c>
      <c r="D40" s="1" t="n">
        <v>44643</v>
      </c>
      <c r="E40" s="1" t="n">
        <v>46280</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30419-2022</t>
        </is>
      </c>
      <c r="B41" t="inlineStr">
        <is>
          <t>avverkningsanmälan</t>
        </is>
      </c>
      <c r="C41" t="inlineStr">
        <is>
          <t>Föryngringsavverkning</t>
        </is>
      </c>
      <c r="D41" s="1" t="n">
        <v>44761</v>
      </c>
      <c r="E41" s="1" t="n">
        <v>46280</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46280</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46280</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9946-2024</t>
        </is>
      </c>
      <c r="B44" t="inlineStr">
        <is>
          <t>avverkningsanmälan</t>
        </is>
      </c>
      <c r="C44" t="inlineStr">
        <is>
          <t>Föryngringsavverkning</t>
        </is>
      </c>
      <c r="D44" s="1" t="n">
        <v>45363</v>
      </c>
      <c r="E44" s="1" t="n">
        <v>46280</v>
      </c>
      <c r="F44" t="inlineStr">
        <is>
          <t>STOCKHOLMS LÄN</t>
        </is>
      </c>
      <c r="G44" t="inlineStr">
        <is>
          <t>HANINGE</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24193-2025</t>
        </is>
      </c>
      <c r="B45" t="inlineStr">
        <is>
          <t>avverkningsanmälan</t>
        </is>
      </c>
      <c r="C45" t="inlineStr">
        <is>
          <t>Föryngringsavverkning</t>
        </is>
      </c>
      <c r="D45" s="1" t="n">
        <v>45796</v>
      </c>
      <c r="E45" s="1" t="n">
        <v>46280</v>
      </c>
      <c r="F45" t="inlineStr">
        <is>
          <t>STOCKHOLMS LÄN</t>
        </is>
      </c>
      <c r="G45" t="inlineStr">
        <is>
          <t>HANINGE</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64075-2023</t>
        </is>
      </c>
      <c r="B46" t="inlineStr">
        <is>
          <t>avverkningsanmälan</t>
        </is>
      </c>
      <c r="C46" t="inlineStr">
        <is>
          <t>Föryngringsavverkning</t>
        </is>
      </c>
      <c r="D46" s="1" t="n">
        <v>45279</v>
      </c>
      <c r="E46" s="1" t="n">
        <v>46280</v>
      </c>
      <c r="F46" t="inlineStr">
        <is>
          <t>STOCKHOLMS LÄN</t>
        </is>
      </c>
      <c r="G46" t="inlineStr">
        <is>
          <t>HANINGE</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13046-2022</t>
        </is>
      </c>
      <c r="B47" t="inlineStr">
        <is>
          <t>avverkningsanmälan</t>
        </is>
      </c>
      <c r="C47" t="inlineStr">
        <is>
          <t>Föryngringsavverkning</t>
        </is>
      </c>
      <c r="D47" s="1" t="n">
        <v>44643</v>
      </c>
      <c r="E47" s="1" t="n">
        <v>46280</v>
      </c>
      <c r="F47" t="inlineStr">
        <is>
          <t>STOCKHOLMS LÄN</t>
        </is>
      </c>
      <c r="G47" t="inlineStr">
        <is>
          <t>HANINGE</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46280</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50306-2023</t>
        </is>
      </c>
      <c r="B49" t="inlineStr">
        <is>
          <t>avverkningsanmälan</t>
        </is>
      </c>
      <c r="C49" t="inlineStr">
        <is>
          <t>Föryngringsavverkning</t>
        </is>
      </c>
      <c r="D49" s="1" t="n">
        <v>45209</v>
      </c>
      <c r="E49" s="1" t="n">
        <v>46280</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c r="Z49">
        <f>HYPERLINK("https://klasma.github.io/Logging_0136/knärot/A 50306-2023 karta knärot.png", "A 50306-2023")</f>
        <v/>
      </c>
      <c r="AA49">
        <f>HYPERLINK("https://klasma.github.io/Logging_0136/klagomål/A 50306-2023 FSC-klagomål.docx", "A 50306-2023")</f>
        <v/>
      </c>
      <c r="AB49">
        <f>HYPERLINK("https://klasma.github.io/Logging_0136/klagomålsmail/A 50306-2023 FSC-klagomål mail.docx", "A 50306-2023")</f>
        <v/>
      </c>
      <c r="AC49">
        <f>HYPERLINK("https://klasma.github.io/Logging_0136/tillsyn/A 50306-2023 tillsynsbegäran.docx", "A 50306-2023")</f>
        <v/>
      </c>
      <c r="AD49">
        <f>HYPERLINK("https://klasma.github.io/Logging_0136/tillsynsmail/A 50306-2023 tillsynsbegäran mail.docx", "A 50306-2023")</f>
        <v/>
      </c>
    </row>
    <row r="50" ht="15" customHeight="1">
      <c r="A50" t="inlineStr">
        <is>
          <t>A 22288-2023</t>
        </is>
      </c>
      <c r="B50" t="inlineStr">
        <is>
          <t>avverkningsanmälan</t>
        </is>
      </c>
      <c r="C50" t="inlineStr">
        <is>
          <t>Föryngringsavverkning</t>
        </is>
      </c>
      <c r="D50" s="1" t="n">
        <v>45070</v>
      </c>
      <c r="E50" s="1" t="n">
        <v>46280</v>
      </c>
      <c r="F50" t="inlineStr">
        <is>
          <t>STOCKHOLMS LÄN</t>
        </is>
      </c>
      <c r="G50" t="inlineStr">
        <is>
          <t>HANINGE</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14264-2025</t>
        </is>
      </c>
      <c r="B51" t="inlineStr">
        <is>
          <t>avverkningsanmälan</t>
        </is>
      </c>
      <c r="C51" t="inlineStr">
        <is>
          <t>Föryngringsavverkning</t>
        </is>
      </c>
      <c r="D51" s="1" t="n">
        <v>45740</v>
      </c>
      <c r="E51" s="1" t="n">
        <v>46280</v>
      </c>
      <c r="F51" t="inlineStr">
        <is>
          <t>STOCKHOLMS LÄN</t>
        </is>
      </c>
      <c r="G51" t="inlineStr">
        <is>
          <t>HANINGE</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12787-2026</t>
        </is>
      </c>
      <c r="B52" t="inlineStr">
        <is>
          <t>avverkningsanmälan</t>
        </is>
      </c>
      <c r="C52" t="inlineStr">
        <is>
          <t>Föryngringsavverkning</t>
        </is>
      </c>
      <c r="D52" s="1" t="n">
        <v>46091</v>
      </c>
      <c r="E52" s="1" t="n">
        <v>46280</v>
      </c>
      <c r="F52" t="inlineStr">
        <is>
          <t>STOCKHOLMS LÄN</t>
        </is>
      </c>
      <c r="G52" t="inlineStr">
        <is>
          <t>HANINGE</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18512-2024</t>
        </is>
      </c>
      <c r="B53" t="inlineStr">
        <is>
          <t>avverkningsanmälan</t>
        </is>
      </c>
      <c r="C53" t="inlineStr">
        <is>
          <t>Föryngringsavverkning</t>
        </is>
      </c>
      <c r="D53" s="1" t="n">
        <v>45425</v>
      </c>
      <c r="E53" s="1" t="n">
        <v>46280</v>
      </c>
      <c r="F53" t="inlineStr">
        <is>
          <t>STOCKHOLMS LÄN</t>
        </is>
      </c>
      <c r="G53" t="inlineStr">
        <is>
          <t>HANINGE</t>
        </is>
      </c>
      <c r="H53" t="inlineStr">
        <is>
          <t>Kommuner</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32948-2025</t>
        </is>
      </c>
      <c r="B54" t="inlineStr">
        <is>
          <t>avverkningsanmälan</t>
        </is>
      </c>
      <c r="C54" t="inlineStr">
        <is>
          <t>Föryngringsavverkning</t>
        </is>
      </c>
      <c r="D54" s="1" t="n">
        <v>45839</v>
      </c>
      <c r="E54" s="1" t="n">
        <v>46280</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59569-2025</t>
        </is>
      </c>
      <c r="B55" t="inlineStr">
        <is>
          <t>avverkningsanmälan</t>
        </is>
      </c>
      <c r="C55" t="inlineStr">
        <is>
          <t>Föryngringsavverkning</t>
        </is>
      </c>
      <c r="D55" s="1" t="n">
        <v>45991</v>
      </c>
      <c r="E55" s="1" t="n">
        <v>46280</v>
      </c>
      <c r="F55" t="inlineStr">
        <is>
          <t>STOCKHOLMS LÄN</t>
        </is>
      </c>
      <c r="G55" t="inlineStr">
        <is>
          <t>HANINGE</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48606-2025</t>
        </is>
      </c>
      <c r="B56" t="inlineStr">
        <is>
          <t>avverkningsanmälan</t>
        </is>
      </c>
      <c r="C56" t="inlineStr">
        <is>
          <t>Föryngringsavverkning</t>
        </is>
      </c>
      <c r="D56" s="1" t="n">
        <v>45936</v>
      </c>
      <c r="E56" s="1" t="n">
        <v>46280</v>
      </c>
      <c r="F56" t="inlineStr">
        <is>
          <t>STOCKHOLMS LÄN</t>
        </is>
      </c>
      <c r="G56" t="inlineStr">
        <is>
          <t>HANINGE</t>
        </is>
      </c>
      <c r="I56" t="n">
        <v>6.9</v>
      </c>
      <c r="J56" t="n">
        <v>0</v>
      </c>
      <c r="K56" t="n">
        <v>0</v>
      </c>
      <c r="L56" t="n">
        <v>0</v>
      </c>
      <c r="M56" t="n">
        <v>0</v>
      </c>
      <c r="N56" t="n">
        <v>0</v>
      </c>
      <c r="O56" t="n">
        <v>0</v>
      </c>
      <c r="P56" t="n">
        <v>0</v>
      </c>
      <c r="Q56" t="n">
        <v>0</v>
      </c>
      <c r="R56" t="n">
        <v>0</v>
      </c>
      <c r="S56" t="n">
        <v>0</v>
      </c>
      <c r="T56" t="n">
        <v>0</v>
      </c>
      <c r="U56" t="n">
        <v>0</v>
      </c>
      <c r="V56" s="2" t="inlineStr"/>
    </row>
    <row r="57" ht="15" customHeight="1">
      <c r="A57" t="inlineStr">
        <is>
          <t>A 52770-2024</t>
        </is>
      </c>
      <c r="B57" t="inlineStr">
        <is>
          <t>avverkningsanmälan</t>
        </is>
      </c>
      <c r="C57" t="inlineStr">
        <is>
          <t>Föryngringsavverkning</t>
        </is>
      </c>
      <c r="D57" s="1" t="n">
        <v>45610</v>
      </c>
      <c r="E57" s="1" t="n">
        <v>46280</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18528-2024</t>
        </is>
      </c>
      <c r="B58" t="inlineStr">
        <is>
          <t>avverkningsanmälan</t>
        </is>
      </c>
      <c r="C58" t="inlineStr">
        <is>
          <t>Föryngringsavverkning</t>
        </is>
      </c>
      <c r="D58" s="1" t="n">
        <v>45425</v>
      </c>
      <c r="E58" s="1" t="n">
        <v>46280</v>
      </c>
      <c r="F58" t="inlineStr">
        <is>
          <t>STOCKHOLMS LÄN</t>
        </is>
      </c>
      <c r="G58" t="inlineStr">
        <is>
          <t>HANINGE</t>
        </is>
      </c>
      <c r="H58" t="inlineStr">
        <is>
          <t>Kommuner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24800-2026</t>
        </is>
      </c>
      <c r="B59" t="inlineStr">
        <is>
          <t>avverkningsanmälan</t>
        </is>
      </c>
      <c r="C59" t="inlineStr">
        <is>
          <t>Föryngringsavverkning</t>
        </is>
      </c>
      <c r="D59" s="1" t="n">
        <v>46171</v>
      </c>
      <c r="E59" s="1" t="n">
        <v>46280</v>
      </c>
      <c r="F59" t="inlineStr">
        <is>
          <t>STOCKHOLMS LÄN</t>
        </is>
      </c>
      <c r="G59" t="inlineStr">
        <is>
          <t>HANINGE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26417-2026</t>
        </is>
      </c>
      <c r="B60" t="inlineStr">
        <is>
          <t>avverkningsanmälan</t>
        </is>
      </c>
      <c r="C60" t="inlineStr">
        <is>
          <t>Föryngringsavverkning</t>
        </is>
      </c>
      <c r="D60" s="1" t="n">
        <v>46183</v>
      </c>
      <c r="E60" s="1" t="n">
        <v>46280</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18490-2025</t>
        </is>
      </c>
      <c r="B61" t="inlineStr">
        <is>
          <t>avverkningsanmälan</t>
        </is>
      </c>
      <c r="C61" t="inlineStr">
        <is>
          <t>Föryngringsavverkning</t>
        </is>
      </c>
      <c r="D61" s="1" t="n">
        <v>45763</v>
      </c>
      <c r="E61" s="1" t="n">
        <v>46280</v>
      </c>
      <c r="F61" t="inlineStr">
        <is>
          <t>STOCKHOLMS LÄN</t>
        </is>
      </c>
      <c r="G61" t="inlineStr">
        <is>
          <t>HANINGE</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26886-2026</t>
        </is>
      </c>
      <c r="B62" t="inlineStr">
        <is>
          <t>avverkningsanmälan</t>
        </is>
      </c>
      <c r="C62" t="inlineStr">
        <is>
          <t>Avverkning för annat ändamål</t>
        </is>
      </c>
      <c r="D62" s="1" t="n">
        <v>46185</v>
      </c>
      <c r="E62" s="1" t="n">
        <v>46280</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18548-2024</t>
        </is>
      </c>
      <c r="B63" t="inlineStr">
        <is>
          <t>avverkningsanmälan</t>
        </is>
      </c>
      <c r="C63" t="inlineStr">
        <is>
          <t>Föryngringsavverkning</t>
        </is>
      </c>
      <c r="D63" s="1" t="n">
        <v>45425</v>
      </c>
      <c r="E63" s="1" t="n">
        <v>46280</v>
      </c>
      <c r="F63" t="inlineStr">
        <is>
          <t>STOCKHOLMS LÄN</t>
        </is>
      </c>
      <c r="G63" t="inlineStr">
        <is>
          <t>HANINGE</t>
        </is>
      </c>
      <c r="H63" t="inlineStr">
        <is>
          <t>Kommuner</t>
        </is>
      </c>
      <c r="I63" t="n">
        <v>7.3</v>
      </c>
      <c r="J63" t="n">
        <v>0</v>
      </c>
      <c r="K63" t="n">
        <v>0</v>
      </c>
      <c r="L63" t="n">
        <v>0</v>
      </c>
      <c r="M63" t="n">
        <v>0</v>
      </c>
      <c r="N63" t="n">
        <v>0</v>
      </c>
      <c r="O63" t="n">
        <v>0</v>
      </c>
      <c r="P63" t="n">
        <v>0</v>
      </c>
      <c r="Q63" t="n">
        <v>0</v>
      </c>
      <c r="R63" t="n">
        <v>0</v>
      </c>
      <c r="S63" t="n">
        <v>0</v>
      </c>
      <c r="T63" t="n">
        <v>0</v>
      </c>
      <c r="U63" t="n">
        <v>0</v>
      </c>
      <c r="V63" s="2" t="inlineStr"/>
    </row>
    <row r="64" ht="15" customHeight="1">
      <c r="A64" t="inlineStr">
        <is>
          <t>A 32486-2026</t>
        </is>
      </c>
      <c r="B64" t="inlineStr">
        <is>
          <t>avverkningsanmälan</t>
        </is>
      </c>
      <c r="C64" t="inlineStr">
        <is>
          <t>Föryngringsavverkning</t>
        </is>
      </c>
      <c r="D64" s="1" t="n">
        <v>46239</v>
      </c>
      <c r="E64" s="1" t="n">
        <v>46280</v>
      </c>
      <c r="F64" t="inlineStr">
        <is>
          <t>STOCKHOLMS LÄN</t>
        </is>
      </c>
      <c r="G64" t="inlineStr">
        <is>
          <t>HANINGE</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20839-2024</t>
        </is>
      </c>
      <c r="B65" t="inlineStr">
        <is>
          <t>avverkningsanmälan</t>
        </is>
      </c>
      <c r="C65" t="inlineStr">
        <is>
          <t>Föryngringsavverkning</t>
        </is>
      </c>
      <c r="D65" s="1" t="n">
        <v>45439</v>
      </c>
      <c r="E65" s="1" t="n">
        <v>46280</v>
      </c>
      <c r="F65" t="inlineStr">
        <is>
          <t>STOCKHOLMS LÄN</t>
        </is>
      </c>
      <c r="G65" t="inlineStr">
        <is>
          <t>HANINGE</t>
        </is>
      </c>
      <c r="I65" t="n">
        <v>8.4</v>
      </c>
      <c r="J65" t="n">
        <v>0</v>
      </c>
      <c r="K65" t="n">
        <v>0</v>
      </c>
      <c r="L65" t="n">
        <v>0</v>
      </c>
      <c r="M65" t="n">
        <v>0</v>
      </c>
      <c r="N65" t="n">
        <v>0</v>
      </c>
      <c r="O65" t="n">
        <v>0</v>
      </c>
      <c r="P65" t="n">
        <v>0</v>
      </c>
      <c r="Q65" t="n">
        <v>0</v>
      </c>
      <c r="R65" t="n">
        <v>0</v>
      </c>
      <c r="S65" t="n">
        <v>0</v>
      </c>
      <c r="T65" t="n">
        <v>0</v>
      </c>
      <c r="U65" t="n">
        <v>0</v>
      </c>
      <c r="V65" s="2" t="inlineStr"/>
    </row>
    <row r="66" ht="15" customHeight="1">
      <c r="A66" t="inlineStr">
        <is>
          <t>A 5474-2024</t>
        </is>
      </c>
      <c r="B66" t="inlineStr">
        <is>
          <t>avverkningsanmälan</t>
        </is>
      </c>
      <c r="C66" t="inlineStr">
        <is>
          <t>Föryngringsavverkning</t>
        </is>
      </c>
      <c r="D66" s="1" t="n">
        <v>45333</v>
      </c>
      <c r="E66" s="1" t="n">
        <v>46280</v>
      </c>
      <c r="F66" t="inlineStr">
        <is>
          <t>STOCKHOLMS LÄN</t>
        </is>
      </c>
      <c r="G66" t="inlineStr">
        <is>
          <t>HANINGE</t>
        </is>
      </c>
      <c r="H66" t="inlineStr">
        <is>
          <t>Kommuner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23666-2024</t>
        </is>
      </c>
      <c r="B67" t="inlineStr">
        <is>
          <t>avverkningsanmälan</t>
        </is>
      </c>
      <c r="C67" t="inlineStr">
        <is>
          <t>Föryngringsavverkning</t>
        </is>
      </c>
      <c r="D67" s="1" t="n">
        <v>45454</v>
      </c>
      <c r="E67" s="1" t="n">
        <v>46280</v>
      </c>
      <c r="F67" t="inlineStr">
        <is>
          <t>STOCKHOLMS LÄN</t>
        </is>
      </c>
      <c r="G67" t="inlineStr">
        <is>
          <t>HANINGE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68896-2021</t>
        </is>
      </c>
      <c r="B68" t="inlineStr">
        <is>
          <t>avverkningsanmälan</t>
        </is>
      </c>
      <c r="C68" t="inlineStr">
        <is>
          <t>Föryngringsavverkning</t>
        </is>
      </c>
      <c r="D68" s="1" t="n">
        <v>44526</v>
      </c>
      <c r="E68" s="1" t="n">
        <v>46280</v>
      </c>
      <c r="F68" t="inlineStr">
        <is>
          <t>STOCKHOLMS LÄN</t>
        </is>
      </c>
      <c r="G68" t="inlineStr">
        <is>
          <t>HANINGE</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33792-2023</t>
        </is>
      </c>
      <c r="B69" t="inlineStr">
        <is>
          <t>avverkningsanmälan</t>
        </is>
      </c>
      <c r="C69" t="inlineStr">
        <is>
          <t>Föryngringsavverkning</t>
        </is>
      </c>
      <c r="D69" s="1" t="n">
        <v>45121</v>
      </c>
      <c r="E69" s="1" t="n">
        <v>46280</v>
      </c>
      <c r="F69" t="inlineStr">
        <is>
          <t>STOCKHOLMS LÄN</t>
        </is>
      </c>
      <c r="G69" t="inlineStr">
        <is>
          <t>HANINGE</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14900-2025</t>
        </is>
      </c>
      <c r="B70" t="inlineStr">
        <is>
          <t>avverkningsanmälan</t>
        </is>
      </c>
      <c r="C70" t="inlineStr">
        <is>
          <t>Föryngringsavverkning</t>
        </is>
      </c>
      <c r="D70" s="1" t="n">
        <v>45743</v>
      </c>
      <c r="E70" s="1" t="n">
        <v>46280</v>
      </c>
      <c r="F70" t="inlineStr">
        <is>
          <t>STOCKHOLMS LÄN</t>
        </is>
      </c>
      <c r="G70" t="inlineStr">
        <is>
          <t>HANINGE</t>
        </is>
      </c>
      <c r="I70" t="n">
        <v>4.5</v>
      </c>
      <c r="J70" t="n">
        <v>0</v>
      </c>
      <c r="K70" t="n">
        <v>0</v>
      </c>
      <c r="L70" t="n">
        <v>0</v>
      </c>
      <c r="M70" t="n">
        <v>0</v>
      </c>
      <c r="N70" t="n">
        <v>0</v>
      </c>
      <c r="O70" t="n">
        <v>0</v>
      </c>
      <c r="P70" t="n">
        <v>0</v>
      </c>
      <c r="Q70" t="n">
        <v>0</v>
      </c>
      <c r="R70" t="n">
        <v>0</v>
      </c>
      <c r="S70" t="n">
        <v>0</v>
      </c>
      <c r="T70" t="n">
        <v>0</v>
      </c>
      <c r="U70" t="n">
        <v>0</v>
      </c>
      <c r="V70" s="2" t="inlineStr"/>
    </row>
    <row r="71" ht="15" customHeight="1">
      <c r="A71" t="inlineStr">
        <is>
          <t>A 20527-2025</t>
        </is>
      </c>
      <c r="B71" t="inlineStr">
        <is>
          <t>avverkningsanmälan</t>
        </is>
      </c>
      <c r="C71" t="inlineStr">
        <is>
          <t>Föryngringsavverkning</t>
        </is>
      </c>
      <c r="D71" s="1" t="n">
        <v>45775</v>
      </c>
      <c r="E71" s="1" t="n">
        <v>46280</v>
      </c>
      <c r="F71" t="inlineStr">
        <is>
          <t>STOCKHOLMS LÄN</t>
        </is>
      </c>
      <c r="G71" t="inlineStr">
        <is>
          <t>HANINGE</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64568-2023</t>
        </is>
      </c>
      <c r="B72" t="inlineStr">
        <is>
          <t>avverkningsanmälan</t>
        </is>
      </c>
      <c r="C72" t="inlineStr">
        <is>
          <t>Föryngringsavverkning</t>
        </is>
      </c>
      <c r="D72" s="1" t="n">
        <v>45281</v>
      </c>
      <c r="E72" s="1" t="n">
        <v>46280</v>
      </c>
      <c r="F72" t="inlineStr">
        <is>
          <t>STOCKHOLMS LÄN</t>
        </is>
      </c>
      <c r="G72" t="inlineStr">
        <is>
          <t>HANINGE</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1180-2024</t>
        </is>
      </c>
      <c r="B73" t="inlineStr">
        <is>
          <t>avverkningsanmälan</t>
        </is>
      </c>
      <c r="C73" t="inlineStr">
        <is>
          <t>Föryngringsavverkning</t>
        </is>
      </c>
      <c r="D73" s="1" t="n">
        <v>45302</v>
      </c>
      <c r="E73" s="1" t="n">
        <v>46280</v>
      </c>
      <c r="F73" t="inlineStr">
        <is>
          <t>STOCKHOLMS LÄN</t>
        </is>
      </c>
      <c r="G73" t="inlineStr">
        <is>
          <t>HANINGE</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24873-2023</t>
        </is>
      </c>
      <c r="B74" t="inlineStr">
        <is>
          <t>avverkningsanmälan</t>
        </is>
      </c>
      <c r="C74" t="inlineStr">
        <is>
          <t>Föryngringsavverkning</t>
        </is>
      </c>
      <c r="D74" s="1" t="n">
        <v>45085</v>
      </c>
      <c r="E74" s="1" t="n">
        <v>46280</v>
      </c>
      <c r="F74" t="inlineStr">
        <is>
          <t>STOCKHOLMS LÄN</t>
        </is>
      </c>
      <c r="G74" t="inlineStr">
        <is>
          <t>HANINGE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58599-2023</t>
        </is>
      </c>
      <c r="B75" t="inlineStr">
        <is>
          <t>avverkningsanmälan</t>
        </is>
      </c>
      <c r="C75" t="inlineStr">
        <is>
          <t>Föryngringsavverkning</t>
        </is>
      </c>
      <c r="D75" s="1" t="n">
        <v>45251</v>
      </c>
      <c r="E75" s="1" t="n">
        <v>46280</v>
      </c>
      <c r="F75" t="inlineStr">
        <is>
          <t>STOCKHOLMS LÄN</t>
        </is>
      </c>
      <c r="G75" t="inlineStr">
        <is>
          <t>HANINGE</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52836-2024</t>
        </is>
      </c>
      <c r="B76" t="inlineStr">
        <is>
          <t>avverkningsanmälan</t>
        </is>
      </c>
      <c r="C76" t="inlineStr">
        <is>
          <t>Föryngringsavverkning</t>
        </is>
      </c>
      <c r="D76" s="1" t="n">
        <v>45610</v>
      </c>
      <c r="E76" s="1" t="n">
        <v>46280</v>
      </c>
      <c r="F76" t="inlineStr">
        <is>
          <t>STOCKHOLMS LÄN</t>
        </is>
      </c>
      <c r="G76" t="inlineStr">
        <is>
          <t>HANINGE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8078-2024</t>
        </is>
      </c>
      <c r="B77" t="inlineStr">
        <is>
          <t>avverkningsanmälan</t>
        </is>
      </c>
      <c r="C77" t="inlineStr">
        <is>
          <t>Föryngringsavverkning</t>
        </is>
      </c>
      <c r="D77" s="1" t="n">
        <v>45351</v>
      </c>
      <c r="E77" s="1" t="n">
        <v>46280</v>
      </c>
      <c r="F77" t="inlineStr">
        <is>
          <t>STOCKHOLMS LÄN</t>
        </is>
      </c>
      <c r="G77" t="inlineStr">
        <is>
          <t>HANINGE</t>
        </is>
      </c>
      <c r="H77" t="inlineStr">
        <is>
          <t>Kommuner</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19220-2023</t>
        </is>
      </c>
      <c r="B78" t="inlineStr">
        <is>
          <t>avverkningsanmälan</t>
        </is>
      </c>
      <c r="C78" t="inlineStr">
        <is>
          <t>Föryngringsavverkning</t>
        </is>
      </c>
      <c r="D78" s="1" t="n">
        <v>45048</v>
      </c>
      <c r="E78" s="1" t="n">
        <v>46280</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25584-2023</t>
        </is>
      </c>
      <c r="B79" t="inlineStr">
        <is>
          <t>avverkningsanmälan</t>
        </is>
      </c>
      <c r="C79" t="inlineStr">
        <is>
          <t>Föryngringsavverkning</t>
        </is>
      </c>
      <c r="D79" s="1" t="n">
        <v>45089</v>
      </c>
      <c r="E79" s="1" t="n">
        <v>46280</v>
      </c>
      <c r="F79" t="inlineStr">
        <is>
          <t>STOCKHOLMS LÄN</t>
        </is>
      </c>
      <c r="G79" t="inlineStr">
        <is>
          <t>HANINGE</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3156-2025</t>
        </is>
      </c>
      <c r="B80" t="inlineStr">
        <is>
          <t>avverkningsanmälan</t>
        </is>
      </c>
      <c r="C80" t="inlineStr">
        <is>
          <t>Föryngringsavverkning</t>
        </is>
      </c>
      <c r="D80" s="1" t="n">
        <v>45679</v>
      </c>
      <c r="E80" s="1" t="n">
        <v>46280</v>
      </c>
      <c r="F80" t="inlineStr">
        <is>
          <t>STOCKHOLMS LÄN</t>
        </is>
      </c>
      <c r="G80" t="inlineStr">
        <is>
          <t>HANINGE</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17765-2024</t>
        </is>
      </c>
      <c r="B81" t="inlineStr">
        <is>
          <t>avverkningsanmälan</t>
        </is>
      </c>
      <c r="C81" t="inlineStr">
        <is>
          <t>Föryngringsavverkning</t>
        </is>
      </c>
      <c r="D81" s="1" t="n">
        <v>45418</v>
      </c>
      <c r="E81" s="1" t="n">
        <v>46280</v>
      </c>
      <c r="F81" t="inlineStr">
        <is>
          <t>STOCKHOLMS LÄN</t>
        </is>
      </c>
      <c r="G81" t="inlineStr">
        <is>
          <t>HANINGE</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68894-2021</t>
        </is>
      </c>
      <c r="B82" t="inlineStr">
        <is>
          <t>avverkningsanmälan</t>
        </is>
      </c>
      <c r="C82" t="inlineStr">
        <is>
          <t>Föryngringsavverkning</t>
        </is>
      </c>
      <c r="D82" s="1" t="n">
        <v>44526</v>
      </c>
      <c r="E82" s="1" t="n">
        <v>46280</v>
      </c>
      <c r="F82" t="inlineStr">
        <is>
          <t>STOCKHOLMS LÄN</t>
        </is>
      </c>
      <c r="G82" t="inlineStr">
        <is>
          <t>HANINGE</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18491-2025</t>
        </is>
      </c>
      <c r="B83" t="inlineStr">
        <is>
          <t>avverkningsanmälan</t>
        </is>
      </c>
      <c r="C83" t="inlineStr">
        <is>
          <t>Föryngringsavverkning</t>
        </is>
      </c>
      <c r="D83" s="1" t="n">
        <v>45763</v>
      </c>
      <c r="E83" s="1" t="n">
        <v>46280</v>
      </c>
      <c r="F83" t="inlineStr">
        <is>
          <t>STOCKHOLMS LÄN</t>
        </is>
      </c>
      <c r="G83" t="inlineStr">
        <is>
          <t>HANINGE</t>
        </is>
      </c>
      <c r="I83" t="n">
        <v>0.5</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46280</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2026-09-15T08:17:15Z</dcterms:created>
  <dcterms:modified xmlns:dcterms="http://purl.org/dc/terms/" xmlns:xsi="http://www.w3.org/2001/XMLSchema-instance" xsi:type="dcterms:W3CDTF">2026-09-15T08:17:15Z</dcterms:modified>
</cp:coreProperties>
</file>