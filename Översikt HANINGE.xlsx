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45743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45743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45743</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45743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45743</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45743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45743</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45743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45743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45743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45743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45743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45743</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45743</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45743</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45743</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45743</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45743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45743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45743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45743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45743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45743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45743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45743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45743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45743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45743</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45743</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21187-2020</t>
        </is>
      </c>
      <c r="B31" s="1" t="n">
        <v>43951</v>
      </c>
      <c r="C31" s="1" t="n">
        <v>45743</v>
      </c>
      <c r="D31" t="inlineStr">
        <is>
          <t>STOCKHOLMS LÄN</t>
        </is>
      </c>
      <c r="E31" t="inlineStr">
        <is>
          <t>HANINGE</t>
        </is>
      </c>
      <c r="G31" t="n">
        <v>1.2</v>
      </c>
      <c r="H31" t="n">
        <v>0</v>
      </c>
      <c r="I31" t="n">
        <v>1</v>
      </c>
      <c r="J31" t="n">
        <v>0</v>
      </c>
      <c r="K31" t="n">
        <v>1</v>
      </c>
      <c r="L31" t="n">
        <v>0</v>
      </c>
      <c r="M31" t="n">
        <v>0</v>
      </c>
      <c r="N31" t="n">
        <v>0</v>
      </c>
      <c r="O31" t="n">
        <v>1</v>
      </c>
      <c r="P31" t="n">
        <v>1</v>
      </c>
      <c r="Q31" t="n">
        <v>2</v>
      </c>
      <c r="R31" s="2" t="inlineStr">
        <is>
          <t>Fläckfingersvamp
Granbarkgnagare</t>
        </is>
      </c>
      <c r="S31">
        <f>HYPERLINK("https://klasma.github.io/Logging_0136/artfynd/A 21187-2020 artfynd.xlsx", "A 21187-2020")</f>
        <v/>
      </c>
      <c r="T31">
        <f>HYPERLINK("https://klasma.github.io/Logging_0136/kartor/A 21187-2020 karta.png", "A 21187-2020")</f>
        <v/>
      </c>
      <c r="V31">
        <f>HYPERLINK("https://klasma.github.io/Logging_0136/klagomål/A 21187-2020 FSC-klagomål.docx", "A 21187-2020")</f>
        <v/>
      </c>
      <c r="W31">
        <f>HYPERLINK("https://klasma.github.io/Logging_0136/klagomålsmail/A 21187-2020 FSC-klagomål mail.docx", "A 21187-2020")</f>
        <v/>
      </c>
      <c r="X31">
        <f>HYPERLINK("https://klasma.github.io/Logging_0136/tillsyn/A 21187-2020 tillsynsbegäran.docx", "A 21187-2020")</f>
        <v/>
      </c>
      <c r="Y31">
        <f>HYPERLINK("https://klasma.github.io/Logging_0136/tillsynsmail/A 21187-2020 tillsynsbegäran mail.docx", "A 21187-2020")</f>
        <v/>
      </c>
    </row>
    <row r="32" ht="15" customHeight="1">
      <c r="A32" t="inlineStr">
        <is>
          <t>A 53858-2020</t>
        </is>
      </c>
      <c r="B32" s="1" t="n">
        <v>44125</v>
      </c>
      <c r="C32" s="1" t="n">
        <v>45743</v>
      </c>
      <c r="D32" t="inlineStr">
        <is>
          <t>STOCKHOLMS LÄN</t>
        </is>
      </c>
      <c r="E32" t="inlineStr">
        <is>
          <t>HANINGE</t>
        </is>
      </c>
      <c r="G32" t="n">
        <v>18.5</v>
      </c>
      <c r="H32" t="n">
        <v>2</v>
      </c>
      <c r="I32" t="n">
        <v>1</v>
      </c>
      <c r="J32" t="n">
        <v>0</v>
      </c>
      <c r="K32" t="n">
        <v>0</v>
      </c>
      <c r="L32" t="n">
        <v>0</v>
      </c>
      <c r="M32" t="n">
        <v>0</v>
      </c>
      <c r="N32" t="n">
        <v>0</v>
      </c>
      <c r="O32" t="n">
        <v>0</v>
      </c>
      <c r="P32" t="n">
        <v>0</v>
      </c>
      <c r="Q32" t="n">
        <v>2</v>
      </c>
      <c r="R32" s="2" t="inlineStr">
        <is>
          <t>Korallrot
Fläcknycklar</t>
        </is>
      </c>
      <c r="S32">
        <f>HYPERLINK("https://klasma.github.io/Logging_0136/artfynd/A 53858-2020 artfynd.xlsx", "A 53858-2020")</f>
        <v/>
      </c>
      <c r="T32">
        <f>HYPERLINK("https://klasma.github.io/Logging_0136/kartor/A 53858-2020 karta.png", "A 53858-2020")</f>
        <v/>
      </c>
      <c r="V32">
        <f>HYPERLINK("https://klasma.github.io/Logging_0136/klagomål/A 53858-2020 FSC-klagomål.docx", "A 53858-2020")</f>
        <v/>
      </c>
      <c r="W32">
        <f>HYPERLINK("https://klasma.github.io/Logging_0136/klagomålsmail/A 53858-2020 FSC-klagomål mail.docx", "A 53858-2020")</f>
        <v/>
      </c>
      <c r="X32">
        <f>HYPERLINK("https://klasma.github.io/Logging_0136/tillsyn/A 53858-2020 tillsynsbegäran.docx", "A 53858-2020")</f>
        <v/>
      </c>
      <c r="Y32">
        <f>HYPERLINK("https://klasma.github.io/Logging_0136/tillsynsmail/A 53858-2020 tillsynsbegäran mail.docx", "A 53858-2020")</f>
        <v/>
      </c>
    </row>
    <row r="33" ht="15" customHeight="1">
      <c r="A33" t="inlineStr">
        <is>
          <t>A 14729-2023</t>
        </is>
      </c>
      <c r="B33" s="1" t="n">
        <v>45014</v>
      </c>
      <c r="C33" s="1" t="n">
        <v>45743</v>
      </c>
      <c r="D33" t="inlineStr">
        <is>
          <t>STOCKHOLMS LÄN</t>
        </is>
      </c>
      <c r="E33" t="inlineStr">
        <is>
          <t>HANINGE</t>
        </is>
      </c>
      <c r="G33" t="n">
        <v>0.2</v>
      </c>
      <c r="H33" t="n">
        <v>0</v>
      </c>
      <c r="I33" t="n">
        <v>1</v>
      </c>
      <c r="J33" t="n">
        <v>1</v>
      </c>
      <c r="K33" t="n">
        <v>0</v>
      </c>
      <c r="L33" t="n">
        <v>0</v>
      </c>
      <c r="M33" t="n">
        <v>0</v>
      </c>
      <c r="N33" t="n">
        <v>0</v>
      </c>
      <c r="O33" t="n">
        <v>1</v>
      </c>
      <c r="P33" t="n">
        <v>0</v>
      </c>
      <c r="Q33" t="n">
        <v>2</v>
      </c>
      <c r="R33" s="2" t="inlineStr">
        <is>
          <t>Ullticka
Mindre märgborre</t>
        </is>
      </c>
      <c r="S33">
        <f>HYPERLINK("https://klasma.github.io/Logging_0136/artfynd/A 14729-2023 artfynd.xlsx", "A 14729-2023")</f>
        <v/>
      </c>
      <c r="T33">
        <f>HYPERLINK("https://klasma.github.io/Logging_0136/kartor/A 14729-2023 karta.png", "A 14729-2023")</f>
        <v/>
      </c>
      <c r="V33">
        <f>HYPERLINK("https://klasma.github.io/Logging_0136/klagomål/A 14729-2023 FSC-klagomål.docx", "A 14729-2023")</f>
        <v/>
      </c>
      <c r="W33">
        <f>HYPERLINK("https://klasma.github.io/Logging_0136/klagomålsmail/A 14729-2023 FSC-klagomål mail.docx", "A 14729-2023")</f>
        <v/>
      </c>
      <c r="X33">
        <f>HYPERLINK("https://klasma.github.io/Logging_0136/tillsyn/A 14729-2023 tillsynsbegäran.docx", "A 14729-2023")</f>
        <v/>
      </c>
      <c r="Y33">
        <f>HYPERLINK("https://klasma.github.io/Logging_0136/tillsynsmail/A 14729-2023 tillsynsbegäran mail.docx", "A 14729-2023")</f>
        <v/>
      </c>
    </row>
    <row r="34" ht="15" customHeight="1">
      <c r="A34" t="inlineStr">
        <is>
          <t>A 60213-2023</t>
        </is>
      </c>
      <c r="B34" s="1" t="n">
        <v>45258</v>
      </c>
      <c r="C34" s="1" t="n">
        <v>45743</v>
      </c>
      <c r="D34" t="inlineStr">
        <is>
          <t>STOCKHOLMS LÄN</t>
        </is>
      </c>
      <c r="E34" t="inlineStr">
        <is>
          <t>HANINGE</t>
        </is>
      </c>
      <c r="G34" t="n">
        <v>3.4</v>
      </c>
      <c r="H34" t="n">
        <v>1</v>
      </c>
      <c r="I34" t="n">
        <v>1</v>
      </c>
      <c r="J34" t="n">
        <v>1</v>
      </c>
      <c r="K34" t="n">
        <v>0</v>
      </c>
      <c r="L34" t="n">
        <v>0</v>
      </c>
      <c r="M34" t="n">
        <v>0</v>
      </c>
      <c r="N34" t="n">
        <v>0</v>
      </c>
      <c r="O34" t="n">
        <v>1</v>
      </c>
      <c r="P34" t="n">
        <v>0</v>
      </c>
      <c r="Q34" t="n">
        <v>2</v>
      </c>
      <c r="R34" s="2" t="inlineStr">
        <is>
          <t>Granticka
Grön sköldmossa</t>
        </is>
      </c>
      <c r="S34">
        <f>HYPERLINK("https://klasma.github.io/Logging_0136/artfynd/A 60213-2023 artfynd.xlsx", "A 60213-2023")</f>
        <v/>
      </c>
      <c r="T34">
        <f>HYPERLINK("https://klasma.github.io/Logging_0136/kartor/A 60213-2023 karta.png", "A 60213-2023")</f>
        <v/>
      </c>
      <c r="V34">
        <f>HYPERLINK("https://klasma.github.io/Logging_0136/klagomål/A 60213-2023 FSC-klagomål.docx", "A 60213-2023")</f>
        <v/>
      </c>
      <c r="W34">
        <f>HYPERLINK("https://klasma.github.io/Logging_0136/klagomålsmail/A 60213-2023 FSC-klagomål mail.docx", "A 60213-2023")</f>
        <v/>
      </c>
      <c r="X34">
        <f>HYPERLINK("https://klasma.github.io/Logging_0136/tillsyn/A 60213-2023 tillsynsbegäran.docx", "A 60213-2023")</f>
        <v/>
      </c>
      <c r="Y34">
        <f>HYPERLINK("https://klasma.github.io/Logging_0136/tillsynsmail/A 60213-2023 tillsynsbegäran mail.docx", "A 60213-2023")</f>
        <v/>
      </c>
    </row>
    <row r="35" ht="15" customHeight="1">
      <c r="A35" t="inlineStr">
        <is>
          <t>A 60375-2023</t>
        </is>
      </c>
      <c r="B35" s="1" t="n">
        <v>45259</v>
      </c>
      <c r="C35" s="1" t="n">
        <v>45743</v>
      </c>
      <c r="D35" t="inlineStr">
        <is>
          <t>STOCKHOLMS LÄN</t>
        </is>
      </c>
      <c r="E35" t="inlineStr">
        <is>
          <t>HANINGE</t>
        </is>
      </c>
      <c r="G35" t="n">
        <v>2.1</v>
      </c>
      <c r="H35" t="n">
        <v>0</v>
      </c>
      <c r="I35" t="n">
        <v>1</v>
      </c>
      <c r="J35" t="n">
        <v>1</v>
      </c>
      <c r="K35" t="n">
        <v>0</v>
      </c>
      <c r="L35" t="n">
        <v>0</v>
      </c>
      <c r="M35" t="n">
        <v>0</v>
      </c>
      <c r="N35" t="n">
        <v>0</v>
      </c>
      <c r="O35" t="n">
        <v>1</v>
      </c>
      <c r="P35" t="n">
        <v>0</v>
      </c>
      <c r="Q35" t="n">
        <v>2</v>
      </c>
      <c r="R35" s="2" t="inlineStr">
        <is>
          <t>Granticka
Granbarkgnagare</t>
        </is>
      </c>
      <c r="S35">
        <f>HYPERLINK("https://klasma.github.io/Logging_0136/artfynd/A 60375-2023 artfynd.xlsx", "A 60375-2023")</f>
        <v/>
      </c>
      <c r="T35">
        <f>HYPERLINK("https://klasma.github.io/Logging_0136/kartor/A 60375-2023 karta.png", "A 60375-2023")</f>
        <v/>
      </c>
      <c r="V35">
        <f>HYPERLINK("https://klasma.github.io/Logging_0136/klagomål/A 60375-2023 FSC-klagomål.docx", "A 60375-2023")</f>
        <v/>
      </c>
      <c r="W35">
        <f>HYPERLINK("https://klasma.github.io/Logging_0136/klagomålsmail/A 60375-2023 FSC-klagomål mail.docx", "A 60375-2023")</f>
        <v/>
      </c>
      <c r="X35">
        <f>HYPERLINK("https://klasma.github.io/Logging_0136/tillsyn/A 60375-2023 tillsynsbegäran.docx", "A 60375-2023")</f>
        <v/>
      </c>
      <c r="Y35">
        <f>HYPERLINK("https://klasma.github.io/Logging_0136/tillsynsmail/A 60375-2023 tillsynsbegäran mail.docx", "A 60375-2023")</f>
        <v/>
      </c>
    </row>
    <row r="36" ht="15" customHeight="1">
      <c r="A36" t="inlineStr">
        <is>
          <t>A 12662-2024</t>
        </is>
      </c>
      <c r="B36" s="1" t="n">
        <v>45384</v>
      </c>
      <c r="C36" s="1" t="n">
        <v>45743</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45743</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45743</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45743</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45743</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45743</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45743</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45743</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45743</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45743</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45743</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45743</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45743</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45743</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HYPERLINK("https://klasma.github.io/Logging_0136/artfynd/A 13939-2025 artfynd.xlsx", "A 13939-2025")</f>
        <v/>
      </c>
      <c r="T49">
        <f>HYPERLINK("https://klasma.github.io/Logging_0136/kartor/A 13939-2025 karta.png", "A 13939-2025")</f>
        <v/>
      </c>
      <c r="V49">
        <f>HYPERLINK("https://klasma.github.io/Logging_0136/klagomål/A 13939-2025 FSC-klagomål.docx", "A 13939-2025")</f>
        <v/>
      </c>
      <c r="W49">
        <f>HYPERLINK("https://klasma.github.io/Logging_0136/klagomålsmail/A 13939-2025 FSC-klagomål mail.docx", "A 13939-2025")</f>
        <v/>
      </c>
      <c r="X49">
        <f>HYPERLINK("https://klasma.github.io/Logging_0136/tillsyn/A 13939-2025 tillsynsbegäran.docx", "A 13939-2025")</f>
        <v/>
      </c>
      <c r="Y49">
        <f>HYPERLINK("https://klasma.github.io/Logging_0136/tillsynsmail/A 13939-2025 tillsynsbegäran mail.docx", "A 13939-2025")</f>
        <v/>
      </c>
    </row>
    <row r="50" ht="15" customHeight="1">
      <c r="A50" t="inlineStr">
        <is>
          <t>A 34656-2019</t>
        </is>
      </c>
      <c r="B50" s="1" t="n">
        <v>43657</v>
      </c>
      <c r="C50" s="1" t="n">
        <v>45743</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45743</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45743</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45743</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45743</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45743</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45743</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45743</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45743</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45743</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45743</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45743</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45743</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45743</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45743</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45743</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45743</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45743</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45743</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45743</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45743</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45743</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45743</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45743</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45743</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45743</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45743</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45743</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45743</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45743</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45743</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45743</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45743</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45743</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45743</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45743</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45743</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45743</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45743</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45743</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45743</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45743</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45743</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45743</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45743</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45743</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45743</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45743</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45743</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45743</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45743</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45743</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45743</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45743</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45743</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45743</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45743</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45743</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45743</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45743</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45743</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45743</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45743</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45743</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45743</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45743</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45743</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45743</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45743</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45743</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45743</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45743</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45743</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45743</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45743</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45743</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45743</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45743</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45743</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45743</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45743</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45743</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45743</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45743</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45743</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45743</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45743</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45743</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45743</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45743</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45743</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45743</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45743</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45743</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45743</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45743</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45743</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45743</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45743</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45743</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14191-2025</t>
        </is>
      </c>
      <c r="B150" s="1" t="n">
        <v>45740</v>
      </c>
      <c r="C150" s="1" t="n">
        <v>45743</v>
      </c>
      <c r="D150" t="inlineStr">
        <is>
          <t>STOCKHOLMS LÄN</t>
        </is>
      </c>
      <c r="E150" t="inlineStr">
        <is>
          <t>HANINGE</t>
        </is>
      </c>
      <c r="G150" t="n">
        <v>2.1</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45743</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45743</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14278-2025</t>
        </is>
      </c>
      <c r="B153" s="1" t="n">
        <v>45740</v>
      </c>
      <c r="C153" s="1" t="n">
        <v>45743</v>
      </c>
      <c r="D153" t="inlineStr">
        <is>
          <t>STOCKHOLMS LÄN</t>
        </is>
      </c>
      <c r="E153" t="inlineStr">
        <is>
          <t>HANINGE</t>
        </is>
      </c>
      <c r="G153" t="n">
        <v>1.5</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45743</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c r="A155" t="inlineStr">
        <is>
          <t>A 14264-2025</t>
        </is>
      </c>
      <c r="B155" s="1" t="n">
        <v>45740</v>
      </c>
      <c r="C155" s="1" t="n">
        <v>45743</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2025-03-27T18:11:35Z</dcterms:created>
  <dcterms:modified xmlns:dcterms="http://purl.org/dc/terms/" xmlns:xsi="http://www.w3.org/2001/XMLSchema-instance" xsi:type="dcterms:W3CDTF">2025-03-27T18:11:36Z</dcterms:modified>
</cp:coreProperties>
</file>