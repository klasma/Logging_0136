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46127</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46127</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46127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46127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46127</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46127</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46127</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46127</v>
      </c>
      <c r="D9" t="inlineStr">
        <is>
          <t>STOCKHOLMS LÄN</t>
        </is>
      </c>
      <c r="E9" t="inlineStr">
        <is>
          <t>HANINGE</t>
        </is>
      </c>
      <c r="G9" t="n">
        <v>17.7</v>
      </c>
      <c r="H9" t="n">
        <v>3</v>
      </c>
      <c r="I9" t="n">
        <v>7</v>
      </c>
      <c r="J9" t="n">
        <v>4</v>
      </c>
      <c r="K9" t="n">
        <v>0</v>
      </c>
      <c r="L9" t="n">
        <v>0</v>
      </c>
      <c r="M9" t="n">
        <v>0</v>
      </c>
      <c r="N9" t="n">
        <v>0</v>
      </c>
      <c r="O9" t="n">
        <v>4</v>
      </c>
      <c r="P9" t="n">
        <v>0</v>
      </c>
      <c r="Q9" t="n">
        <v>12</v>
      </c>
      <c r="R9" s="2" t="inlineStr">
        <is>
          <t>Granticka
Kandelabersvamp
Spillkråka
Vedtrappmossa
Brandticka
Grön sköldmossa
Grönpyrola
Mörk husmossa
Rödgul trumpetsvamp
Sårläka
Vedticka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46127</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46127</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17454-2026</t>
        </is>
      </c>
      <c r="B12" s="1" t="n">
        <v>46120.46743055555</v>
      </c>
      <c r="C12" s="1" t="n">
        <v>46127</v>
      </c>
      <c r="D12" t="inlineStr">
        <is>
          <t>STOCKHOLMS LÄN</t>
        </is>
      </c>
      <c r="E12" t="inlineStr">
        <is>
          <t>HANINGE</t>
        </is>
      </c>
      <c r="G12" t="n">
        <v>31.4</v>
      </c>
      <c r="H12" t="n">
        <v>2</v>
      </c>
      <c r="I12" t="n">
        <v>4</v>
      </c>
      <c r="J12" t="n">
        <v>2</v>
      </c>
      <c r="K12" t="n">
        <v>1</v>
      </c>
      <c r="L12" t="n">
        <v>0</v>
      </c>
      <c r="M12" t="n">
        <v>0</v>
      </c>
      <c r="N12" t="n">
        <v>0</v>
      </c>
      <c r="O12" t="n">
        <v>3</v>
      </c>
      <c r="P12" t="n">
        <v>1</v>
      </c>
      <c r="Q12" t="n">
        <v>7</v>
      </c>
      <c r="R12" s="2" t="inlineStr">
        <is>
          <t>Knärot
Granticka
Motaggsvamp
Blåsfliksmossa
Grön sköldmossa
Grönpyrola
Guldlockmossa</t>
        </is>
      </c>
      <c r="S12">
        <f>HYPERLINK("https://klasma.github.io/Logging_0136/artfynd/A 17454-2026 artfynd.xlsx", "A 17454-2026")</f>
        <v/>
      </c>
      <c r="T12">
        <f>HYPERLINK("https://klasma.github.io/Logging_0136/kartor/A 17454-2026 karta.png", "A 17454-2026")</f>
        <v/>
      </c>
      <c r="U12">
        <f>HYPERLINK("https://klasma.github.io/Logging_0136/knärot/A 17454-2026 karta knärot.png", "A 17454-2026")</f>
        <v/>
      </c>
      <c r="V12">
        <f>HYPERLINK("https://klasma.github.io/Logging_0136/klagomål/A 17454-2026 FSC-klagomål.docx", "A 17454-2026")</f>
        <v/>
      </c>
      <c r="W12">
        <f>HYPERLINK("https://klasma.github.io/Logging_0136/klagomålsmail/A 17454-2026 FSC-klagomål mail.docx", "A 17454-2026")</f>
        <v/>
      </c>
      <c r="X12">
        <f>HYPERLINK("https://klasma.github.io/Logging_0136/tillsyn/A 17454-2026 tillsynsbegäran.docx", "A 17454-2026")</f>
        <v/>
      </c>
      <c r="Y12">
        <f>HYPERLINK("https://klasma.github.io/Logging_0136/tillsynsmail/A 17454-2026 tillsynsbegäran mail.docx", "A 17454-2026")</f>
        <v/>
      </c>
    </row>
    <row r="13" ht="15" customHeight="1">
      <c r="A13" t="inlineStr">
        <is>
          <t>A 52616-2021</t>
        </is>
      </c>
      <c r="B13" s="1" t="n">
        <v>44463</v>
      </c>
      <c r="C13" s="1" t="n">
        <v>46127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46127</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46127</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46127</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46127</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14729-2023</t>
        </is>
      </c>
      <c r="B18" s="1" t="n">
        <v>45014</v>
      </c>
      <c r="C18" s="1" t="n">
        <v>46127</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39636-2022</t>
        </is>
      </c>
      <c r="B19" s="1" t="n">
        <v>44818</v>
      </c>
      <c r="C19" s="1" t="n">
        <v>46127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46127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46127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46127</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46127</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46127</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46127</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46127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46127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46127</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46127</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46127</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46127</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46127</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46127</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46127</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46127</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46127</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46127</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46127</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46127</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46127</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46127</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46127</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46127</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46127</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8163-2024</t>
        </is>
      </c>
      <c r="B45" s="1" t="n">
        <v>45351.60337962963</v>
      </c>
      <c r="C45" s="1" t="n">
        <v>46127</v>
      </c>
      <c r="D45" t="inlineStr">
        <is>
          <t>STOCKHOLMS LÄN</t>
        </is>
      </c>
      <c r="E45" t="inlineStr">
        <is>
          <t>HANINGE</t>
        </is>
      </c>
      <c r="F45" t="inlineStr">
        <is>
          <t>Kommuner</t>
        </is>
      </c>
      <c r="G45" t="n">
        <v>3.8</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46127</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46127</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46127</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46127</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46127</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13046-2022</t>
        </is>
      </c>
      <c r="B51" s="1" t="n">
        <v>44643</v>
      </c>
      <c r="C51" s="1" t="n">
        <v>46127</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46127</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27596-2025</t>
        </is>
      </c>
      <c r="B53" s="1" t="n">
        <v>45813.52303240741</v>
      </c>
      <c r="C53" s="1" t="n">
        <v>46127</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46127</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46127</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46127</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46127</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48606-2025</t>
        </is>
      </c>
      <c r="B58" s="1" t="n">
        <v>45936.47019675926</v>
      </c>
      <c r="C58" s="1" t="n">
        <v>46127</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46127</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59565-2025</t>
        </is>
      </c>
      <c r="B60" s="1" t="n">
        <v>45991.88413194445</v>
      </c>
      <c r="C60" s="1" t="n">
        <v>46127</v>
      </c>
      <c r="D60" t="inlineStr">
        <is>
          <t>STOCKHOLMS LÄN</t>
        </is>
      </c>
      <c r="E60" t="inlineStr">
        <is>
          <t>HANINGE</t>
        </is>
      </c>
      <c r="G60" t="n">
        <v>1.2</v>
      </c>
      <c r="H60" t="n">
        <v>0</v>
      </c>
      <c r="I60" t="n">
        <v>0</v>
      </c>
      <c r="J60" t="n">
        <v>0</v>
      </c>
      <c r="K60" t="n">
        <v>0</v>
      </c>
      <c r="L60" t="n">
        <v>0</v>
      </c>
      <c r="M60" t="n">
        <v>0</v>
      </c>
      <c r="N60" t="n">
        <v>0</v>
      </c>
      <c r="O60" t="n">
        <v>0</v>
      </c>
      <c r="P60" t="n">
        <v>0</v>
      </c>
      <c r="Q60" t="n">
        <v>0</v>
      </c>
      <c r="R60" s="2" t="inlineStr"/>
    </row>
    <row r="61" ht="15" customHeight="1">
      <c r="A61" t="inlineStr">
        <is>
          <t>A 59569-2025</t>
        </is>
      </c>
      <c r="B61" s="1" t="n">
        <v>45991.92870370371</v>
      </c>
      <c r="C61" s="1" t="n">
        <v>46127</v>
      </c>
      <c r="D61" t="inlineStr">
        <is>
          <t>STOCKHOLMS LÄN</t>
        </is>
      </c>
      <c r="E61" t="inlineStr">
        <is>
          <t>HANINGE</t>
        </is>
      </c>
      <c r="G61" t="n">
        <v>1.3</v>
      </c>
      <c r="H61" t="n">
        <v>0</v>
      </c>
      <c r="I61" t="n">
        <v>0</v>
      </c>
      <c r="J61" t="n">
        <v>0</v>
      </c>
      <c r="K61" t="n">
        <v>0</v>
      </c>
      <c r="L61" t="n">
        <v>0</v>
      </c>
      <c r="M61" t="n">
        <v>0</v>
      </c>
      <c r="N61" t="n">
        <v>0</v>
      </c>
      <c r="O61" t="n">
        <v>0</v>
      </c>
      <c r="P61" t="n">
        <v>0</v>
      </c>
      <c r="Q61" t="n">
        <v>0</v>
      </c>
      <c r="R61" s="2" t="inlineStr"/>
    </row>
    <row r="62" ht="15" customHeight="1">
      <c r="A62" t="inlineStr">
        <is>
          <t>A 59568-2025</t>
        </is>
      </c>
      <c r="B62" s="1" t="n">
        <v>45991.90737268519</v>
      </c>
      <c r="C62" s="1" t="n">
        <v>46127</v>
      </c>
      <c r="D62" t="inlineStr">
        <is>
          <t>STOCKHOLMS LÄN</t>
        </is>
      </c>
      <c r="E62" t="inlineStr">
        <is>
          <t>HANINGE</t>
        </is>
      </c>
      <c r="G62" t="n">
        <v>5.8</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46127</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14264-2025</t>
        </is>
      </c>
      <c r="B64" s="1" t="n">
        <v>45740.6340162037</v>
      </c>
      <c r="C64" s="1" t="n">
        <v>46127</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1184-2024</t>
        </is>
      </c>
      <c r="B65" s="1" t="n">
        <v>45302.57663194444</v>
      </c>
      <c r="C65" s="1" t="n">
        <v>46127</v>
      </c>
      <c r="D65" t="inlineStr">
        <is>
          <t>STOCKHOLMS LÄN</t>
        </is>
      </c>
      <c r="E65" t="inlineStr">
        <is>
          <t>HANINGE</t>
        </is>
      </c>
      <c r="G65" t="n">
        <v>3.6</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46127</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52770-2024</t>
        </is>
      </c>
      <c r="B67" s="1" t="n">
        <v>45610.52414351852</v>
      </c>
      <c r="C67" s="1" t="n">
        <v>46127</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46127</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46127</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46127</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46127</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46127</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46127</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12787-2026</t>
        </is>
      </c>
      <c r="B74" s="1" t="n">
        <v>46091.85130787037</v>
      </c>
      <c r="C74" s="1" t="n">
        <v>46127</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46127</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12782-2026</t>
        </is>
      </c>
      <c r="B76" s="1" t="n">
        <v>46091.76701388889</v>
      </c>
      <c r="C76" s="1" t="n">
        <v>46127</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46127</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46127</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6648-2023</t>
        </is>
      </c>
      <c r="B79" s="1" t="n">
        <v>44966</v>
      </c>
      <c r="C79" s="1" t="n">
        <v>46127</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33792-2023</t>
        </is>
      </c>
      <c r="B80" s="1" t="n">
        <v>45121</v>
      </c>
      <c r="C80" s="1" t="n">
        <v>46127</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14900-2025</t>
        </is>
      </c>
      <c r="B81" s="1" t="n">
        <v>45743.48729166666</v>
      </c>
      <c r="C81" s="1" t="n">
        <v>46127</v>
      </c>
      <c r="D81" t="inlineStr">
        <is>
          <t>STOCKHOLMS LÄN</t>
        </is>
      </c>
      <c r="E81" t="inlineStr">
        <is>
          <t>HANINGE</t>
        </is>
      </c>
      <c r="G81" t="n">
        <v>4.5</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46127</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46127</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1180-2024</t>
        </is>
      </c>
      <c r="B84" s="1" t="n">
        <v>45302</v>
      </c>
      <c r="C84" s="1" t="n">
        <v>46127</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24873-2023</t>
        </is>
      </c>
      <c r="B85" s="1" t="n">
        <v>45085</v>
      </c>
      <c r="C85" s="1" t="n">
        <v>46127</v>
      </c>
      <c r="D85" t="inlineStr">
        <is>
          <t>STOCKHOLMS LÄN</t>
        </is>
      </c>
      <c r="E85" t="inlineStr">
        <is>
          <t>HANINGE</t>
        </is>
      </c>
      <c r="G85" t="n">
        <v>1.9</v>
      </c>
      <c r="H85" t="n">
        <v>0</v>
      </c>
      <c r="I85" t="n">
        <v>0</v>
      </c>
      <c r="J85" t="n">
        <v>0</v>
      </c>
      <c r="K85" t="n">
        <v>0</v>
      </c>
      <c r="L85" t="n">
        <v>0</v>
      </c>
      <c r="M85" t="n">
        <v>0</v>
      </c>
      <c r="N85" t="n">
        <v>0</v>
      </c>
      <c r="O85" t="n">
        <v>0</v>
      </c>
      <c r="P85" t="n">
        <v>0</v>
      </c>
      <c r="Q85" t="n">
        <v>0</v>
      </c>
      <c r="R85" s="2" t="inlineStr"/>
    </row>
    <row r="86" ht="15" customHeight="1">
      <c r="A86" t="inlineStr">
        <is>
          <t>A 58599-2023</t>
        </is>
      </c>
      <c r="B86" s="1" t="n">
        <v>45251.47721064815</v>
      </c>
      <c r="C86" s="1" t="n">
        <v>46127</v>
      </c>
      <c r="D86" t="inlineStr">
        <is>
          <t>STOCKHOLMS LÄN</t>
        </is>
      </c>
      <c r="E86" t="inlineStr">
        <is>
          <t>HANINGE</t>
        </is>
      </c>
      <c r="G86" t="n">
        <v>3.2</v>
      </c>
      <c r="H86" t="n">
        <v>0</v>
      </c>
      <c r="I86" t="n">
        <v>0</v>
      </c>
      <c r="J86" t="n">
        <v>0</v>
      </c>
      <c r="K86" t="n">
        <v>0</v>
      </c>
      <c r="L86" t="n">
        <v>0</v>
      </c>
      <c r="M86" t="n">
        <v>0</v>
      </c>
      <c r="N86" t="n">
        <v>0</v>
      </c>
      <c r="O86" t="n">
        <v>0</v>
      </c>
      <c r="P86" t="n">
        <v>0</v>
      </c>
      <c r="Q86" t="n">
        <v>0</v>
      </c>
      <c r="R86" s="2" t="inlineStr"/>
    </row>
    <row r="87" ht="15" customHeight="1">
      <c r="A87" t="inlineStr">
        <is>
          <t>A 52836-2024</t>
        </is>
      </c>
      <c r="B87" s="1" t="n">
        <v>45610.59637731482</v>
      </c>
      <c r="C87" s="1" t="n">
        <v>46127</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46127</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46127</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46127</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3156-2025</t>
        </is>
      </c>
      <c r="B91" s="1" t="n">
        <v>45679.32142361111</v>
      </c>
      <c r="C91" s="1" t="n">
        <v>46127</v>
      </c>
      <c r="D91" t="inlineStr">
        <is>
          <t>STOCKHOLMS LÄN</t>
        </is>
      </c>
      <c r="E91" t="inlineStr">
        <is>
          <t>HANINGE</t>
        </is>
      </c>
      <c r="G91" t="n">
        <v>3.3</v>
      </c>
      <c r="H91" t="n">
        <v>0</v>
      </c>
      <c r="I91" t="n">
        <v>0</v>
      </c>
      <c r="J91" t="n">
        <v>0</v>
      </c>
      <c r="K91" t="n">
        <v>0</v>
      </c>
      <c r="L91" t="n">
        <v>0</v>
      </c>
      <c r="M91" t="n">
        <v>0</v>
      </c>
      <c r="N91" t="n">
        <v>0</v>
      </c>
      <c r="O91" t="n">
        <v>0</v>
      </c>
      <c r="P91" t="n">
        <v>0</v>
      </c>
      <c r="Q91" t="n">
        <v>0</v>
      </c>
      <c r="R91" s="2" t="inlineStr"/>
    </row>
    <row r="92" ht="15" customHeight="1">
      <c r="A92" t="inlineStr">
        <is>
          <t>A 17765-2024</t>
        </is>
      </c>
      <c r="B92" s="1" t="n">
        <v>45418.63149305555</v>
      </c>
      <c r="C92" s="1" t="n">
        <v>46127</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68894-2021</t>
        </is>
      </c>
      <c r="B93" s="1" t="n">
        <v>44526</v>
      </c>
      <c r="C93" s="1" t="n">
        <v>46127</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18491-2025</t>
        </is>
      </c>
      <c r="B94" s="1" t="n">
        <v>45763.34135416667</v>
      </c>
      <c r="C94" s="1" t="n">
        <v>46127</v>
      </c>
      <c r="D94" t="inlineStr">
        <is>
          <t>STOCKHOLMS LÄN</t>
        </is>
      </c>
      <c r="E94" t="inlineStr">
        <is>
          <t>HANINGE</t>
        </is>
      </c>
      <c r="G94" t="n">
        <v>0.5</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46127</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46127</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46127</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2026-04-15T14:29:44Z</dcterms:created>
  <dcterms:modified xmlns:dcterms="http://purl.org/dc/terms/" xmlns:xsi="http://www.w3.org/2001/XMLSchema-instance" xsi:type="dcterms:W3CDTF">2026-04-15T14:29:44Z</dcterms:modified>
</cp:coreProperties>
</file>