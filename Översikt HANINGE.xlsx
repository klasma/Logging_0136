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45963</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45963</v>
      </c>
      <c r="D3" t="inlineStr">
        <is>
          <t>STOCKHOLMS LÄN</t>
        </is>
      </c>
      <c r="E3" t="inlineStr">
        <is>
          <t>HANINGE</t>
        </is>
      </c>
      <c r="G3" t="n">
        <v>19.8</v>
      </c>
      <c r="H3" t="n">
        <v>15</v>
      </c>
      <c r="I3" t="n">
        <v>19</v>
      </c>
      <c r="J3" t="n">
        <v>12</v>
      </c>
      <c r="K3" t="n">
        <v>3</v>
      </c>
      <c r="L3" t="n">
        <v>0</v>
      </c>
      <c r="M3" t="n">
        <v>0</v>
      </c>
      <c r="N3" t="n">
        <v>0</v>
      </c>
      <c r="O3" t="n">
        <v>15</v>
      </c>
      <c r="P3" t="n">
        <v>3</v>
      </c>
      <c r="Q3" t="n">
        <v>41</v>
      </c>
      <c r="R3"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45963</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45963</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45963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45963</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52616-2021</t>
        </is>
      </c>
      <c r="B12" s="1" t="n">
        <v>44463</v>
      </c>
      <c r="C12" s="1" t="n">
        <v>45963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47707-2023</t>
        </is>
      </c>
      <c r="B13" s="1" t="n">
        <v>45203</v>
      </c>
      <c r="C13" s="1" t="n">
        <v>45963</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45963</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24189-2025</t>
        </is>
      </c>
      <c r="B15" s="1" t="n">
        <v>45796.84584490741</v>
      </c>
      <c r="C15" s="1" t="n">
        <v>45963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45963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1424-2021</t>
        </is>
      </c>
      <c r="B17" s="1" t="n">
        <v>44208</v>
      </c>
      <c r="C17" s="1" t="n">
        <v>45963</v>
      </c>
      <c r="D17" t="inlineStr">
        <is>
          <t>STOCKHOLMS LÄN</t>
        </is>
      </c>
      <c r="E17" t="inlineStr">
        <is>
          <t>HANINGE</t>
        </is>
      </c>
      <c r="G17" t="n">
        <v>1.7</v>
      </c>
      <c r="H17" t="n">
        <v>1</v>
      </c>
      <c r="I17" t="n">
        <v>1</v>
      </c>
      <c r="J17" t="n">
        <v>0</v>
      </c>
      <c r="K17" t="n">
        <v>0</v>
      </c>
      <c r="L17" t="n">
        <v>0</v>
      </c>
      <c r="M17" t="n">
        <v>0</v>
      </c>
      <c r="N17" t="n">
        <v>0</v>
      </c>
      <c r="O17" t="n">
        <v>0</v>
      </c>
      <c r="P17" t="n">
        <v>0</v>
      </c>
      <c r="Q17" t="n">
        <v>1</v>
      </c>
      <c r="R17" s="2" t="inlineStr">
        <is>
          <t>Tvåblad</t>
        </is>
      </c>
      <c r="S17">
        <f>HYPERLINK("https://klasma.github.io/Logging_0136/artfynd/A 1424-2021 artfynd.xlsx", "A 1424-2021")</f>
        <v/>
      </c>
      <c r="T17">
        <f>HYPERLINK("https://klasma.github.io/Logging_0136/kartor/A 1424-2021 karta.png", "A 1424-2021")</f>
        <v/>
      </c>
      <c r="U17">
        <f>HYPERLINK("https://klasma.github.io/Logging_0136/knärot/A 1424-2021 karta knärot.png", "A 1424-2021")</f>
        <v/>
      </c>
      <c r="V17">
        <f>HYPERLINK("https://klasma.github.io/Logging_0136/klagomål/A 1424-2021 FSC-klagomål.docx", "A 1424-2021")</f>
        <v/>
      </c>
      <c r="W17">
        <f>HYPERLINK("https://klasma.github.io/Logging_0136/klagomålsmail/A 1424-2021 FSC-klagomål mail.docx", "A 1424-2021")</f>
        <v/>
      </c>
      <c r="X17">
        <f>HYPERLINK("https://klasma.github.io/Logging_0136/tillsyn/A 1424-2021 tillsynsbegäran.docx", "A 1424-2021")</f>
        <v/>
      </c>
      <c r="Y17">
        <f>HYPERLINK("https://klasma.github.io/Logging_0136/tillsynsmail/A 1424-2021 tillsynsbegäran mail.docx", "A 1424-2021")</f>
        <v/>
      </c>
    </row>
    <row r="18" ht="15" customHeight="1">
      <c r="A18" t="inlineStr">
        <is>
          <t>A 39636-2022</t>
        </is>
      </c>
      <c r="B18" s="1" t="n">
        <v>44818</v>
      </c>
      <c r="C18" s="1" t="n">
        <v>45963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45963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45963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45963</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45963</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45963</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31780-2021</t>
        </is>
      </c>
      <c r="B24" s="1" t="n">
        <v>44369</v>
      </c>
      <c r="C24" s="1" t="n">
        <v>45963</v>
      </c>
      <c r="D24" t="inlineStr">
        <is>
          <t>STOCKHOLMS LÄN</t>
        </is>
      </c>
      <c r="E24" t="inlineStr">
        <is>
          <t>HANINGE</t>
        </is>
      </c>
      <c r="G24" t="n">
        <v>11.5</v>
      </c>
      <c r="H24" t="n">
        <v>0</v>
      </c>
      <c r="I24" t="n">
        <v>0</v>
      </c>
      <c r="J24" t="n">
        <v>0</v>
      </c>
      <c r="K24" t="n">
        <v>0</v>
      </c>
      <c r="L24" t="n">
        <v>0</v>
      </c>
      <c r="M24" t="n">
        <v>0</v>
      </c>
      <c r="N24" t="n">
        <v>0</v>
      </c>
      <c r="O24" t="n">
        <v>0</v>
      </c>
      <c r="P24" t="n">
        <v>0</v>
      </c>
      <c r="Q24" t="n">
        <v>0</v>
      </c>
      <c r="R24" s="2" t="inlineStr"/>
    </row>
    <row r="25" ht="15" customHeight="1">
      <c r="A25" t="inlineStr">
        <is>
          <t>A 68904-2021</t>
        </is>
      </c>
      <c r="B25" s="1" t="n">
        <v>44526</v>
      </c>
      <c r="C25" s="1" t="n">
        <v>45963</v>
      </c>
      <c r="D25" t="inlineStr">
        <is>
          <t>STOCKHOLMS LÄN</t>
        </is>
      </c>
      <c r="E25" t="inlineStr">
        <is>
          <t>HANINGE</t>
        </is>
      </c>
      <c r="G25" t="n">
        <v>2.4</v>
      </c>
      <c r="H25" t="n">
        <v>0</v>
      </c>
      <c r="I25" t="n">
        <v>0</v>
      </c>
      <c r="J25" t="n">
        <v>0</v>
      </c>
      <c r="K25" t="n">
        <v>0</v>
      </c>
      <c r="L25" t="n">
        <v>0</v>
      </c>
      <c r="M25" t="n">
        <v>0</v>
      </c>
      <c r="N25" t="n">
        <v>0</v>
      </c>
      <c r="O25" t="n">
        <v>0</v>
      </c>
      <c r="P25" t="n">
        <v>0</v>
      </c>
      <c r="Q25" t="n">
        <v>0</v>
      </c>
      <c r="R25" s="2" t="inlineStr"/>
    </row>
    <row r="26" ht="15" customHeight="1">
      <c r="A26" t="inlineStr">
        <is>
          <t>A 39651-2021</t>
        </is>
      </c>
      <c r="B26" s="1" t="n">
        <v>44417</v>
      </c>
      <c r="C26" s="1" t="n">
        <v>45963</v>
      </c>
      <c r="D26" t="inlineStr">
        <is>
          <t>STOCKHOLMS LÄN</t>
        </is>
      </c>
      <c r="E26" t="inlineStr">
        <is>
          <t>HANINGE</t>
        </is>
      </c>
      <c r="G26" t="n">
        <v>3.6</v>
      </c>
      <c r="H26" t="n">
        <v>0</v>
      </c>
      <c r="I26" t="n">
        <v>0</v>
      </c>
      <c r="J26" t="n">
        <v>0</v>
      </c>
      <c r="K26" t="n">
        <v>0</v>
      </c>
      <c r="L26" t="n">
        <v>0</v>
      </c>
      <c r="M26" t="n">
        <v>0</v>
      </c>
      <c r="N26" t="n">
        <v>0</v>
      </c>
      <c r="O26" t="n">
        <v>0</v>
      </c>
      <c r="P26" t="n">
        <v>0</v>
      </c>
      <c r="Q26" t="n">
        <v>0</v>
      </c>
      <c r="R26" s="2" t="inlineStr"/>
    </row>
    <row r="27" ht="15" customHeight="1">
      <c r="A27" t="inlineStr">
        <is>
          <t>A 1438-2021</t>
        </is>
      </c>
      <c r="B27" s="1" t="n">
        <v>44208</v>
      </c>
      <c r="C27" s="1" t="n">
        <v>45963</v>
      </c>
      <c r="D27" t="inlineStr">
        <is>
          <t>STOCKHOLMS LÄN</t>
        </is>
      </c>
      <c r="E27" t="inlineStr">
        <is>
          <t>HANINGE</t>
        </is>
      </c>
      <c r="G27" t="n">
        <v>3</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45963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1418-2021</t>
        </is>
      </c>
      <c r="B29" s="1" t="n">
        <v>44208</v>
      </c>
      <c r="C29" s="1" t="n">
        <v>45963</v>
      </c>
      <c r="D29" t="inlineStr">
        <is>
          <t>STOCKHOLMS LÄN</t>
        </is>
      </c>
      <c r="E29" t="inlineStr">
        <is>
          <t>HANINGE</t>
        </is>
      </c>
      <c r="G29" t="n">
        <v>4.2</v>
      </c>
      <c r="H29" t="n">
        <v>0</v>
      </c>
      <c r="I29" t="n">
        <v>0</v>
      </c>
      <c r="J29" t="n">
        <v>0</v>
      </c>
      <c r="K29" t="n">
        <v>0</v>
      </c>
      <c r="L29" t="n">
        <v>0</v>
      </c>
      <c r="M29" t="n">
        <v>0</v>
      </c>
      <c r="N29" t="n">
        <v>0</v>
      </c>
      <c r="O29" t="n">
        <v>0</v>
      </c>
      <c r="P29" t="n">
        <v>0</v>
      </c>
      <c r="Q29" t="n">
        <v>0</v>
      </c>
      <c r="R29" s="2" t="inlineStr"/>
    </row>
    <row r="30" ht="15" customHeight="1">
      <c r="A30" t="inlineStr">
        <is>
          <t>A 1420-2021</t>
        </is>
      </c>
      <c r="B30" s="1" t="n">
        <v>44208</v>
      </c>
      <c r="C30" s="1" t="n">
        <v>45963</v>
      </c>
      <c r="D30" t="inlineStr">
        <is>
          <t>STOCKHOLMS LÄN</t>
        </is>
      </c>
      <c r="E30" t="inlineStr">
        <is>
          <t>HANINGE</t>
        </is>
      </c>
      <c r="G30" t="n">
        <v>6.3</v>
      </c>
      <c r="H30" t="n">
        <v>0</v>
      </c>
      <c r="I30" t="n">
        <v>0</v>
      </c>
      <c r="J30" t="n">
        <v>0</v>
      </c>
      <c r="K30" t="n">
        <v>0</v>
      </c>
      <c r="L30" t="n">
        <v>0</v>
      </c>
      <c r="M30" t="n">
        <v>0</v>
      </c>
      <c r="N30" t="n">
        <v>0</v>
      </c>
      <c r="O30" t="n">
        <v>0</v>
      </c>
      <c r="P30" t="n">
        <v>0</v>
      </c>
      <c r="Q30" t="n">
        <v>0</v>
      </c>
      <c r="R30" s="2" t="inlineStr"/>
    </row>
    <row r="31" ht="15" customHeight="1">
      <c r="A31" t="inlineStr">
        <is>
          <t>A 41259-2022</t>
        </is>
      </c>
      <c r="B31" s="1" t="n">
        <v>44825</v>
      </c>
      <c r="C31" s="1" t="n">
        <v>45963</v>
      </c>
      <c r="D31" t="inlineStr">
        <is>
          <t>STOCKHOLMS LÄN</t>
        </is>
      </c>
      <c r="E31" t="inlineStr">
        <is>
          <t>HANINGE</t>
        </is>
      </c>
      <c r="F31" t="inlineStr">
        <is>
          <t>Övriga statliga verk och myndigheter</t>
        </is>
      </c>
      <c r="G31" t="n">
        <v>2.9</v>
      </c>
      <c r="H31" t="n">
        <v>0</v>
      </c>
      <c r="I31" t="n">
        <v>0</v>
      </c>
      <c r="J31" t="n">
        <v>0</v>
      </c>
      <c r="K31" t="n">
        <v>0</v>
      </c>
      <c r="L31" t="n">
        <v>0</v>
      </c>
      <c r="M31" t="n">
        <v>0</v>
      </c>
      <c r="N31" t="n">
        <v>0</v>
      </c>
      <c r="O31" t="n">
        <v>0</v>
      </c>
      <c r="P31" t="n">
        <v>0</v>
      </c>
      <c r="Q31" t="n">
        <v>0</v>
      </c>
      <c r="R31" s="2" t="inlineStr"/>
    </row>
    <row r="32" ht="15" customHeight="1">
      <c r="A32" t="inlineStr">
        <is>
          <t>A 41263-2022</t>
        </is>
      </c>
      <c r="B32" s="1" t="n">
        <v>44825</v>
      </c>
      <c r="C32" s="1" t="n">
        <v>45963</v>
      </c>
      <c r="D32" t="inlineStr">
        <is>
          <t>STOCKHOLMS LÄN</t>
        </is>
      </c>
      <c r="E32" t="inlineStr">
        <is>
          <t>HANINGE</t>
        </is>
      </c>
      <c r="F32" t="inlineStr">
        <is>
          <t>Övriga statliga verk och myndigheter</t>
        </is>
      </c>
      <c r="G32" t="n">
        <v>1.9</v>
      </c>
      <c r="H32" t="n">
        <v>0</v>
      </c>
      <c r="I32" t="n">
        <v>0</v>
      </c>
      <c r="J32" t="n">
        <v>0</v>
      </c>
      <c r="K32" t="n">
        <v>0</v>
      </c>
      <c r="L32" t="n">
        <v>0</v>
      </c>
      <c r="M32" t="n">
        <v>0</v>
      </c>
      <c r="N32" t="n">
        <v>0</v>
      </c>
      <c r="O32" t="n">
        <v>0</v>
      </c>
      <c r="P32" t="n">
        <v>0</v>
      </c>
      <c r="Q32" t="n">
        <v>0</v>
      </c>
      <c r="R32" s="2" t="inlineStr"/>
    </row>
    <row r="33" ht="15" customHeight="1">
      <c r="A33" t="inlineStr">
        <is>
          <t>A 66726-2020</t>
        </is>
      </c>
      <c r="B33" s="1" t="n">
        <v>44179</v>
      </c>
      <c r="C33" s="1" t="n">
        <v>45963</v>
      </c>
      <c r="D33" t="inlineStr">
        <is>
          <t>STOCKHOLMS LÄN</t>
        </is>
      </c>
      <c r="E33" t="inlineStr">
        <is>
          <t>HANINGE</t>
        </is>
      </c>
      <c r="F33" t="inlineStr">
        <is>
          <t>Övriga statliga verk och myndigheter</t>
        </is>
      </c>
      <c r="G33" t="n">
        <v>10.5</v>
      </c>
      <c r="H33" t="n">
        <v>0</v>
      </c>
      <c r="I33" t="n">
        <v>0</v>
      </c>
      <c r="J33" t="n">
        <v>0</v>
      </c>
      <c r="K33" t="n">
        <v>0</v>
      </c>
      <c r="L33" t="n">
        <v>0</v>
      </c>
      <c r="M33" t="n">
        <v>0</v>
      </c>
      <c r="N33" t="n">
        <v>0</v>
      </c>
      <c r="O33" t="n">
        <v>0</v>
      </c>
      <c r="P33" t="n">
        <v>0</v>
      </c>
      <c r="Q33" t="n">
        <v>0</v>
      </c>
      <c r="R33" s="2" t="inlineStr"/>
    </row>
    <row r="34" ht="15" customHeight="1">
      <c r="A34" t="inlineStr">
        <is>
          <t>A 50903-2021</t>
        </is>
      </c>
      <c r="B34" s="1" t="n">
        <v>44460</v>
      </c>
      <c r="C34" s="1" t="n">
        <v>45963</v>
      </c>
      <c r="D34" t="inlineStr">
        <is>
          <t>STOCKHOLMS LÄN</t>
        </is>
      </c>
      <c r="E34" t="inlineStr">
        <is>
          <t>HANINGE</t>
        </is>
      </c>
      <c r="G34" t="n">
        <v>1.5</v>
      </c>
      <c r="H34" t="n">
        <v>0</v>
      </c>
      <c r="I34" t="n">
        <v>0</v>
      </c>
      <c r="J34" t="n">
        <v>0</v>
      </c>
      <c r="K34" t="n">
        <v>0</v>
      </c>
      <c r="L34" t="n">
        <v>0</v>
      </c>
      <c r="M34" t="n">
        <v>0</v>
      </c>
      <c r="N34" t="n">
        <v>0</v>
      </c>
      <c r="O34" t="n">
        <v>0</v>
      </c>
      <c r="P34" t="n">
        <v>0</v>
      </c>
      <c r="Q34" t="n">
        <v>0</v>
      </c>
      <c r="R34" s="2" t="inlineStr"/>
    </row>
    <row r="35" ht="15" customHeight="1">
      <c r="A35" t="inlineStr">
        <is>
          <t>A 45501-2022</t>
        </is>
      </c>
      <c r="B35" s="1" t="n">
        <v>44845.42407407407</v>
      </c>
      <c r="C35" s="1" t="n">
        <v>45963</v>
      </c>
      <c r="D35" t="inlineStr">
        <is>
          <t>STOCKHOLMS LÄN</t>
        </is>
      </c>
      <c r="E35" t="inlineStr">
        <is>
          <t>HANINGE</t>
        </is>
      </c>
      <c r="G35" t="n">
        <v>2.7</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45963</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55853-2021</t>
        </is>
      </c>
      <c r="B37" s="1" t="n">
        <v>44476</v>
      </c>
      <c r="C37" s="1" t="n">
        <v>45963</v>
      </c>
      <c r="D37" t="inlineStr">
        <is>
          <t>STOCKHOLMS LÄN</t>
        </is>
      </c>
      <c r="E37" t="inlineStr">
        <is>
          <t>HANINGE</t>
        </is>
      </c>
      <c r="F37" t="inlineStr">
        <is>
          <t>Kommuner</t>
        </is>
      </c>
      <c r="G37" t="n">
        <v>1.3</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45963</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45963</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45963</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45963</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13135-2022</t>
        </is>
      </c>
      <c r="B42" s="1" t="n">
        <v>44643</v>
      </c>
      <c r="C42" s="1" t="n">
        <v>45963</v>
      </c>
      <c r="D42" t="inlineStr">
        <is>
          <t>STOCKHOLMS LÄN</t>
        </is>
      </c>
      <c r="E42" t="inlineStr">
        <is>
          <t>HANINGE</t>
        </is>
      </c>
      <c r="G42" t="n">
        <v>2</v>
      </c>
      <c r="H42" t="n">
        <v>0</v>
      </c>
      <c r="I42" t="n">
        <v>0</v>
      </c>
      <c r="J42" t="n">
        <v>0</v>
      </c>
      <c r="K42" t="n">
        <v>0</v>
      </c>
      <c r="L42" t="n">
        <v>0</v>
      </c>
      <c r="M42" t="n">
        <v>0</v>
      </c>
      <c r="N42" t="n">
        <v>0</v>
      </c>
      <c r="O42" t="n">
        <v>0</v>
      </c>
      <c r="P42" t="n">
        <v>0</v>
      </c>
      <c r="Q42" t="n">
        <v>0</v>
      </c>
      <c r="R42" s="2" t="inlineStr"/>
    </row>
    <row r="43" ht="15" customHeight="1">
      <c r="A43" t="inlineStr">
        <is>
          <t>A 30419-2022</t>
        </is>
      </c>
      <c r="B43" s="1" t="n">
        <v>44761</v>
      </c>
      <c r="C43" s="1" t="n">
        <v>45963</v>
      </c>
      <c r="D43" t="inlineStr">
        <is>
          <t>STOCKHOLMS LÄN</t>
        </is>
      </c>
      <c r="E43" t="inlineStr">
        <is>
          <t>HANINGE</t>
        </is>
      </c>
      <c r="G43" t="n">
        <v>7.4</v>
      </c>
      <c r="H43" t="n">
        <v>0</v>
      </c>
      <c r="I43" t="n">
        <v>0</v>
      </c>
      <c r="J43" t="n">
        <v>0</v>
      </c>
      <c r="K43" t="n">
        <v>0</v>
      </c>
      <c r="L43" t="n">
        <v>0</v>
      </c>
      <c r="M43" t="n">
        <v>0</v>
      </c>
      <c r="N43" t="n">
        <v>0</v>
      </c>
      <c r="O43" t="n">
        <v>0</v>
      </c>
      <c r="P43" t="n">
        <v>0</v>
      </c>
      <c r="Q43" t="n">
        <v>0</v>
      </c>
      <c r="R43" s="2" t="inlineStr"/>
    </row>
    <row r="44" ht="15" customHeight="1">
      <c r="A44" t="inlineStr">
        <is>
          <t>A 55861-2021</t>
        </is>
      </c>
      <c r="B44" s="1" t="n">
        <v>44476</v>
      </c>
      <c r="C44" s="1" t="n">
        <v>45963</v>
      </c>
      <c r="D44" t="inlineStr">
        <is>
          <t>STOCKHOLMS LÄN</t>
        </is>
      </c>
      <c r="E44" t="inlineStr">
        <is>
          <t>HANINGE</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64395-2020</t>
        </is>
      </c>
      <c r="B45" s="1" t="n">
        <v>44168</v>
      </c>
      <c r="C45" s="1" t="n">
        <v>45963</v>
      </c>
      <c r="D45" t="inlineStr">
        <is>
          <t>STOCKHOLMS LÄN</t>
        </is>
      </c>
      <c r="E45" t="inlineStr">
        <is>
          <t>HANINGE</t>
        </is>
      </c>
      <c r="G45" t="n">
        <v>3.9</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45963</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45963</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18528-2024</t>
        </is>
      </c>
      <c r="B48" s="1" t="n">
        <v>45425.61965277778</v>
      </c>
      <c r="C48" s="1" t="n">
        <v>45963</v>
      </c>
      <c r="D48" t="inlineStr">
        <is>
          <t>STOCKHOLMS LÄN</t>
        </is>
      </c>
      <c r="E48" t="inlineStr">
        <is>
          <t>HANINGE</t>
        </is>
      </c>
      <c r="F48" t="inlineStr">
        <is>
          <t>Kommuner</t>
        </is>
      </c>
      <c r="G48" t="n">
        <v>0.5</v>
      </c>
      <c r="H48" t="n">
        <v>0</v>
      </c>
      <c r="I48" t="n">
        <v>0</v>
      </c>
      <c r="J48" t="n">
        <v>0</v>
      </c>
      <c r="K48" t="n">
        <v>0</v>
      </c>
      <c r="L48" t="n">
        <v>0</v>
      </c>
      <c r="M48" t="n">
        <v>0</v>
      </c>
      <c r="N48" t="n">
        <v>0</v>
      </c>
      <c r="O48" t="n">
        <v>0</v>
      </c>
      <c r="P48" t="n">
        <v>0</v>
      </c>
      <c r="Q48" t="n">
        <v>0</v>
      </c>
      <c r="R48" s="2" t="inlineStr"/>
    </row>
    <row r="49" ht="15" customHeight="1">
      <c r="A49" t="inlineStr">
        <is>
          <t>A 68894-2021</t>
        </is>
      </c>
      <c r="B49" s="1" t="n">
        <v>44526</v>
      </c>
      <c r="C49" s="1" t="n">
        <v>45963</v>
      </c>
      <c r="D49" t="inlineStr">
        <is>
          <t>STOCKHOLMS LÄN</t>
        </is>
      </c>
      <c r="E49" t="inlineStr">
        <is>
          <t>HANINGE</t>
        </is>
      </c>
      <c r="G49" t="n">
        <v>1.2</v>
      </c>
      <c r="H49" t="n">
        <v>0</v>
      </c>
      <c r="I49" t="n">
        <v>0</v>
      </c>
      <c r="J49" t="n">
        <v>0</v>
      </c>
      <c r="K49" t="n">
        <v>0</v>
      </c>
      <c r="L49" t="n">
        <v>0</v>
      </c>
      <c r="M49" t="n">
        <v>0</v>
      </c>
      <c r="N49" t="n">
        <v>0</v>
      </c>
      <c r="O49" t="n">
        <v>0</v>
      </c>
      <c r="P49" t="n">
        <v>0</v>
      </c>
      <c r="Q49" t="n">
        <v>0</v>
      </c>
      <c r="R49" s="2" t="inlineStr"/>
    </row>
    <row r="50" ht="15" customHeight="1">
      <c r="A50" t="inlineStr">
        <is>
          <t>A 18491-2025</t>
        </is>
      </c>
      <c r="B50" s="1" t="n">
        <v>45763.34135416667</v>
      </c>
      <c r="C50" s="1" t="n">
        <v>45963</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45963</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18490-2025</t>
        </is>
      </c>
      <c r="B52" s="1" t="n">
        <v>45763</v>
      </c>
      <c r="C52" s="1" t="n">
        <v>45963</v>
      </c>
      <c r="D52" t="inlineStr">
        <is>
          <t>STOCKHOLMS LÄN</t>
        </is>
      </c>
      <c r="E52" t="inlineStr">
        <is>
          <t>HANINGE</t>
        </is>
      </c>
      <c r="G52" t="n">
        <v>3</v>
      </c>
      <c r="H52" t="n">
        <v>0</v>
      </c>
      <c r="I52" t="n">
        <v>0</v>
      </c>
      <c r="J52" t="n">
        <v>0</v>
      </c>
      <c r="K52" t="n">
        <v>0</v>
      </c>
      <c r="L52" t="n">
        <v>0</v>
      </c>
      <c r="M52" t="n">
        <v>0</v>
      </c>
      <c r="N52" t="n">
        <v>0</v>
      </c>
      <c r="O52" t="n">
        <v>0</v>
      </c>
      <c r="P52" t="n">
        <v>0</v>
      </c>
      <c r="Q52" t="n">
        <v>0</v>
      </c>
      <c r="R52" s="2" t="inlineStr"/>
    </row>
    <row r="53" ht="15" customHeight="1">
      <c r="A53" t="inlineStr">
        <is>
          <t>A 18548-2024</t>
        </is>
      </c>
      <c r="B53" s="1" t="n">
        <v>45425.64708333334</v>
      </c>
      <c r="C53" s="1" t="n">
        <v>45963</v>
      </c>
      <c r="D53" t="inlineStr">
        <is>
          <t>STOCKHOLMS LÄN</t>
        </is>
      </c>
      <c r="E53" t="inlineStr">
        <is>
          <t>HANINGE</t>
        </is>
      </c>
      <c r="F53" t="inlineStr">
        <is>
          <t>Kommuner</t>
        </is>
      </c>
      <c r="G53" t="n">
        <v>7.3</v>
      </c>
      <c r="H53" t="n">
        <v>0</v>
      </c>
      <c r="I53" t="n">
        <v>0</v>
      </c>
      <c r="J53" t="n">
        <v>0</v>
      </c>
      <c r="K53" t="n">
        <v>0</v>
      </c>
      <c r="L53" t="n">
        <v>0</v>
      </c>
      <c r="M53" t="n">
        <v>0</v>
      </c>
      <c r="N53" t="n">
        <v>0</v>
      </c>
      <c r="O53" t="n">
        <v>0</v>
      </c>
      <c r="P53" t="n">
        <v>0</v>
      </c>
      <c r="Q53" t="n">
        <v>0</v>
      </c>
      <c r="R53" s="2" t="inlineStr"/>
    </row>
    <row r="54" ht="15" customHeight="1">
      <c r="A54" t="inlineStr">
        <is>
          <t>A 20839-2024</t>
        </is>
      </c>
      <c r="B54" s="1" t="n">
        <v>45439.39953703704</v>
      </c>
      <c r="C54" s="1" t="n">
        <v>45963</v>
      </c>
      <c r="D54" t="inlineStr">
        <is>
          <t>STOCKHOLMS LÄN</t>
        </is>
      </c>
      <c r="E54" t="inlineStr">
        <is>
          <t>HANINGE</t>
        </is>
      </c>
      <c r="G54" t="n">
        <v>8.4</v>
      </c>
      <c r="H54" t="n">
        <v>0</v>
      </c>
      <c r="I54" t="n">
        <v>0</v>
      </c>
      <c r="J54" t="n">
        <v>0</v>
      </c>
      <c r="K54" t="n">
        <v>0</v>
      </c>
      <c r="L54" t="n">
        <v>0</v>
      </c>
      <c r="M54" t="n">
        <v>0</v>
      </c>
      <c r="N54" t="n">
        <v>0</v>
      </c>
      <c r="O54" t="n">
        <v>0</v>
      </c>
      <c r="P54" t="n">
        <v>0</v>
      </c>
      <c r="Q54" t="n">
        <v>0</v>
      </c>
      <c r="R54" s="2" t="inlineStr"/>
    </row>
    <row r="55" ht="15" customHeight="1">
      <c r="A55" t="inlineStr">
        <is>
          <t>A 1187-2024</t>
        </is>
      </c>
      <c r="B55" s="1" t="n">
        <v>45302.58045138889</v>
      </c>
      <c r="C55" s="1" t="n">
        <v>45963</v>
      </c>
      <c r="D55" t="inlineStr">
        <is>
          <t>STOCKHOLMS LÄN</t>
        </is>
      </c>
      <c r="E55" t="inlineStr">
        <is>
          <t>HANINGE</t>
        </is>
      </c>
      <c r="G55" t="n">
        <v>1.5</v>
      </c>
      <c r="H55" t="n">
        <v>0</v>
      </c>
      <c r="I55" t="n">
        <v>0</v>
      </c>
      <c r="J55" t="n">
        <v>0</v>
      </c>
      <c r="K55" t="n">
        <v>0</v>
      </c>
      <c r="L55" t="n">
        <v>0</v>
      </c>
      <c r="M55" t="n">
        <v>0</v>
      </c>
      <c r="N55" t="n">
        <v>0</v>
      </c>
      <c r="O55" t="n">
        <v>0</v>
      </c>
      <c r="P55" t="n">
        <v>0</v>
      </c>
      <c r="Q55" t="n">
        <v>0</v>
      </c>
      <c r="R55" s="2" t="inlineStr"/>
    </row>
    <row r="56" ht="15" customHeight="1">
      <c r="A56" t="inlineStr">
        <is>
          <t>A 37000-2022</t>
        </is>
      </c>
      <c r="B56" s="1" t="n">
        <v>44806</v>
      </c>
      <c r="C56" s="1" t="n">
        <v>45963</v>
      </c>
      <c r="D56" t="inlineStr">
        <is>
          <t>STOCKHOLMS LÄN</t>
        </is>
      </c>
      <c r="E56" t="inlineStr">
        <is>
          <t>HANINGE</t>
        </is>
      </c>
      <c r="F56" t="inlineStr">
        <is>
          <t>Övriga statliga verk och myndigheter</t>
        </is>
      </c>
      <c r="G56" t="n">
        <v>2</v>
      </c>
      <c r="H56" t="n">
        <v>0</v>
      </c>
      <c r="I56" t="n">
        <v>0</v>
      </c>
      <c r="J56" t="n">
        <v>0</v>
      </c>
      <c r="K56" t="n">
        <v>0</v>
      </c>
      <c r="L56" t="n">
        <v>0</v>
      </c>
      <c r="M56" t="n">
        <v>0</v>
      </c>
      <c r="N56" t="n">
        <v>0</v>
      </c>
      <c r="O56" t="n">
        <v>0</v>
      </c>
      <c r="P56" t="n">
        <v>0</v>
      </c>
      <c r="Q56" t="n">
        <v>0</v>
      </c>
      <c r="R56" s="2" t="inlineStr"/>
    </row>
    <row r="57" ht="15" customHeight="1">
      <c r="A57" t="inlineStr">
        <is>
          <t>A 52773-2024</t>
        </is>
      </c>
      <c r="B57" s="1" t="n">
        <v>45610.53207175926</v>
      </c>
      <c r="C57" s="1" t="n">
        <v>45963</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5474-2024</t>
        </is>
      </c>
      <c r="B58" s="1" t="n">
        <v>45333.51131944444</v>
      </c>
      <c r="C58" s="1" t="n">
        <v>45963</v>
      </c>
      <c r="D58" t="inlineStr">
        <is>
          <t>STOCKHOLMS LÄN</t>
        </is>
      </c>
      <c r="E58" t="inlineStr">
        <is>
          <t>HANINGE</t>
        </is>
      </c>
      <c r="F58" t="inlineStr">
        <is>
          <t>Kommuner</t>
        </is>
      </c>
      <c r="G58" t="n">
        <v>0.9</v>
      </c>
      <c r="H58" t="n">
        <v>0</v>
      </c>
      <c r="I58" t="n">
        <v>0</v>
      </c>
      <c r="J58" t="n">
        <v>0</v>
      </c>
      <c r="K58" t="n">
        <v>0</v>
      </c>
      <c r="L58" t="n">
        <v>0</v>
      </c>
      <c r="M58" t="n">
        <v>0</v>
      </c>
      <c r="N58" t="n">
        <v>0</v>
      </c>
      <c r="O58" t="n">
        <v>0</v>
      </c>
      <c r="P58" t="n">
        <v>0</v>
      </c>
      <c r="Q58" t="n">
        <v>0</v>
      </c>
      <c r="R58" s="2" t="inlineStr"/>
    </row>
    <row r="59" ht="15" customHeight="1">
      <c r="A59" t="inlineStr">
        <is>
          <t>A 41809-2021</t>
        </is>
      </c>
      <c r="B59" s="1" t="n">
        <v>44425</v>
      </c>
      <c r="C59" s="1" t="n">
        <v>45963</v>
      </c>
      <c r="D59" t="inlineStr">
        <is>
          <t>STOCKHOLMS LÄN</t>
        </is>
      </c>
      <c r="E59" t="inlineStr">
        <is>
          <t>HANINGE</t>
        </is>
      </c>
      <c r="G59" t="n">
        <v>0.9</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45963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45963</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45963</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21231-2025</t>
        </is>
      </c>
      <c r="B63" s="1" t="n">
        <v>45779.54644675926</v>
      </c>
      <c r="C63" s="1" t="n">
        <v>45963</v>
      </c>
      <c r="D63" t="inlineStr">
        <is>
          <t>STOCKHOLMS LÄN</t>
        </is>
      </c>
      <c r="E63" t="inlineStr">
        <is>
          <t>HANINGE</t>
        </is>
      </c>
      <c r="G63" t="n">
        <v>4.3</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45963</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45963</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45963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45963</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24191-2025</t>
        </is>
      </c>
      <c r="B68" s="1" t="n">
        <v>45796.86738425926</v>
      </c>
      <c r="C68" s="1" t="n">
        <v>45963</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24193-2025</t>
        </is>
      </c>
      <c r="B69" s="1" t="n">
        <v>45796.89591435185</v>
      </c>
      <c r="C69" s="1" t="n">
        <v>45963</v>
      </c>
      <c r="D69" t="inlineStr">
        <is>
          <t>STOCKHOLMS LÄN</t>
        </is>
      </c>
      <c r="E69" t="inlineStr">
        <is>
          <t>HANINGE</t>
        </is>
      </c>
      <c r="G69" t="n">
        <v>0.4</v>
      </c>
      <c r="H69" t="n">
        <v>0</v>
      </c>
      <c r="I69" t="n">
        <v>0</v>
      </c>
      <c r="J69" t="n">
        <v>0</v>
      </c>
      <c r="K69" t="n">
        <v>0</v>
      </c>
      <c r="L69" t="n">
        <v>0</v>
      </c>
      <c r="M69" t="n">
        <v>0</v>
      </c>
      <c r="N69" t="n">
        <v>0</v>
      </c>
      <c r="O69" t="n">
        <v>0</v>
      </c>
      <c r="P69" t="n">
        <v>0</v>
      </c>
      <c r="Q69" t="n">
        <v>0</v>
      </c>
      <c r="R69" s="2" t="inlineStr"/>
    </row>
    <row r="70" ht="15" customHeight="1">
      <c r="A70" t="inlineStr">
        <is>
          <t>A 24115-2025</t>
        </is>
      </c>
      <c r="B70" s="1" t="n">
        <v>45796.61494212963</v>
      </c>
      <c r="C70" s="1" t="n">
        <v>45963</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33792-2023</t>
        </is>
      </c>
      <c r="B71" s="1" t="n">
        <v>45121</v>
      </c>
      <c r="C71" s="1" t="n">
        <v>45963</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64075-2023</t>
        </is>
      </c>
      <c r="B72" s="1" t="n">
        <v>45279</v>
      </c>
      <c r="C72" s="1" t="n">
        <v>45963</v>
      </c>
      <c r="D72" t="inlineStr">
        <is>
          <t>STOCKHOLMS LÄN</t>
        </is>
      </c>
      <c r="E72" t="inlineStr">
        <is>
          <t>HANINGE</t>
        </is>
      </c>
      <c r="G72" t="n">
        <v>2.6</v>
      </c>
      <c r="H72" t="n">
        <v>0</v>
      </c>
      <c r="I72" t="n">
        <v>0</v>
      </c>
      <c r="J72" t="n">
        <v>0</v>
      </c>
      <c r="K72" t="n">
        <v>0</v>
      </c>
      <c r="L72" t="n">
        <v>0</v>
      </c>
      <c r="M72" t="n">
        <v>0</v>
      </c>
      <c r="N72" t="n">
        <v>0</v>
      </c>
      <c r="O72" t="n">
        <v>0</v>
      </c>
      <c r="P72" t="n">
        <v>0</v>
      </c>
      <c r="Q72" t="n">
        <v>0</v>
      </c>
      <c r="R72" s="2" t="inlineStr"/>
    </row>
    <row r="73" ht="15" customHeight="1">
      <c r="A73" t="inlineStr">
        <is>
          <t>A 14900-2025</t>
        </is>
      </c>
      <c r="B73" s="1" t="n">
        <v>45743.48729166666</v>
      </c>
      <c r="C73" s="1" t="n">
        <v>45963</v>
      </c>
      <c r="D73" t="inlineStr">
        <is>
          <t>STOCKHOLMS LÄN</t>
        </is>
      </c>
      <c r="E73" t="inlineStr">
        <is>
          <t>HANINGE</t>
        </is>
      </c>
      <c r="G73" t="n">
        <v>4.5</v>
      </c>
      <c r="H73" t="n">
        <v>0</v>
      </c>
      <c r="I73" t="n">
        <v>0</v>
      </c>
      <c r="J73" t="n">
        <v>0</v>
      </c>
      <c r="K73" t="n">
        <v>0</v>
      </c>
      <c r="L73" t="n">
        <v>0</v>
      </c>
      <c r="M73" t="n">
        <v>0</v>
      </c>
      <c r="N73" t="n">
        <v>0</v>
      </c>
      <c r="O73" t="n">
        <v>0</v>
      </c>
      <c r="P73" t="n">
        <v>0</v>
      </c>
      <c r="Q73" t="n">
        <v>0</v>
      </c>
      <c r="R73" s="2" t="inlineStr"/>
    </row>
    <row r="74" ht="15" customHeight="1">
      <c r="A74" t="inlineStr">
        <is>
          <t>A 20527-2025</t>
        </is>
      </c>
      <c r="B74" s="1" t="n">
        <v>45775.60663194444</v>
      </c>
      <c r="C74" s="1" t="n">
        <v>45963</v>
      </c>
      <c r="D74" t="inlineStr">
        <is>
          <t>STOCKHOLMS LÄN</t>
        </is>
      </c>
      <c r="E74" t="inlineStr">
        <is>
          <t>HANINGE</t>
        </is>
      </c>
      <c r="G74" t="n">
        <v>2.1</v>
      </c>
      <c r="H74" t="n">
        <v>0</v>
      </c>
      <c r="I74" t="n">
        <v>0</v>
      </c>
      <c r="J74" t="n">
        <v>0</v>
      </c>
      <c r="K74" t="n">
        <v>0</v>
      </c>
      <c r="L74" t="n">
        <v>0</v>
      </c>
      <c r="M74" t="n">
        <v>0</v>
      </c>
      <c r="N74" t="n">
        <v>0</v>
      </c>
      <c r="O74" t="n">
        <v>0</v>
      </c>
      <c r="P74" t="n">
        <v>0</v>
      </c>
      <c r="Q74" t="n">
        <v>0</v>
      </c>
      <c r="R74" s="2" t="inlineStr"/>
    </row>
    <row r="75" ht="15" customHeight="1">
      <c r="A75" t="inlineStr">
        <is>
          <t>A 64568-2023</t>
        </is>
      </c>
      <c r="B75" s="1" t="n">
        <v>45281.43164351852</v>
      </c>
      <c r="C75" s="1" t="n">
        <v>45963</v>
      </c>
      <c r="D75" t="inlineStr">
        <is>
          <t>STOCKHOLMS LÄN</t>
        </is>
      </c>
      <c r="E75" t="inlineStr">
        <is>
          <t>HANINGE</t>
        </is>
      </c>
      <c r="G75" t="n">
        <v>3.1</v>
      </c>
      <c r="H75" t="n">
        <v>0</v>
      </c>
      <c r="I75" t="n">
        <v>0</v>
      </c>
      <c r="J75" t="n">
        <v>0</v>
      </c>
      <c r="K75" t="n">
        <v>0</v>
      </c>
      <c r="L75" t="n">
        <v>0</v>
      </c>
      <c r="M75" t="n">
        <v>0</v>
      </c>
      <c r="N75" t="n">
        <v>0</v>
      </c>
      <c r="O75" t="n">
        <v>0</v>
      </c>
      <c r="P75" t="n">
        <v>0</v>
      </c>
      <c r="Q75" t="n">
        <v>0</v>
      </c>
      <c r="R75" s="2" t="inlineStr"/>
    </row>
    <row r="76" ht="15" customHeight="1">
      <c r="A76" t="inlineStr">
        <is>
          <t>A 1180-2024</t>
        </is>
      </c>
      <c r="B76" s="1" t="n">
        <v>45302</v>
      </c>
      <c r="C76" s="1" t="n">
        <v>45963</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45963</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45963</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27596-2025</t>
        </is>
      </c>
      <c r="B79" s="1" t="n">
        <v>45813.52303240741</v>
      </c>
      <c r="C79" s="1" t="n">
        <v>45963</v>
      </c>
      <c r="D79" t="inlineStr">
        <is>
          <t>STOCKHOLMS LÄN</t>
        </is>
      </c>
      <c r="E79" t="inlineStr">
        <is>
          <t>HANINGE</t>
        </is>
      </c>
      <c r="G79" t="n">
        <v>0.1</v>
      </c>
      <c r="H79" t="n">
        <v>0</v>
      </c>
      <c r="I79" t="n">
        <v>0</v>
      </c>
      <c r="J79" t="n">
        <v>0</v>
      </c>
      <c r="K79" t="n">
        <v>0</v>
      </c>
      <c r="L79" t="n">
        <v>0</v>
      </c>
      <c r="M79" t="n">
        <v>0</v>
      </c>
      <c r="N79" t="n">
        <v>0</v>
      </c>
      <c r="O79" t="n">
        <v>0</v>
      </c>
      <c r="P79" t="n">
        <v>0</v>
      </c>
      <c r="Q79" t="n">
        <v>0</v>
      </c>
      <c r="R79" s="2" t="inlineStr"/>
    </row>
    <row r="80" ht="15" customHeight="1">
      <c r="A80" t="inlineStr">
        <is>
          <t>A 18512-2024</t>
        </is>
      </c>
      <c r="B80" s="1" t="n">
        <v>45425.59938657407</v>
      </c>
      <c r="C80" s="1" t="n">
        <v>45963</v>
      </c>
      <c r="D80" t="inlineStr">
        <is>
          <t>STOCKHOLMS LÄN</t>
        </is>
      </c>
      <c r="E80" t="inlineStr">
        <is>
          <t>HANINGE</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45963</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45963</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45963</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32952-2025</t>
        </is>
      </c>
      <c r="B84" s="1" t="n">
        <v>45839.69278935185</v>
      </c>
      <c r="C84" s="1" t="n">
        <v>45963</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32954-2025</t>
        </is>
      </c>
      <c r="B85" s="1" t="n">
        <v>45839.70034722222</v>
      </c>
      <c r="C85" s="1" t="n">
        <v>45963</v>
      </c>
      <c r="D85" t="inlineStr">
        <is>
          <t>STOCKHOLMS LÄN</t>
        </is>
      </c>
      <c r="E85" t="inlineStr">
        <is>
          <t>HANINGE</t>
        </is>
      </c>
      <c r="G85" t="n">
        <v>1.6</v>
      </c>
      <c r="H85" t="n">
        <v>0</v>
      </c>
      <c r="I85" t="n">
        <v>0</v>
      </c>
      <c r="J85" t="n">
        <v>0</v>
      </c>
      <c r="K85" t="n">
        <v>0</v>
      </c>
      <c r="L85" t="n">
        <v>0</v>
      </c>
      <c r="M85" t="n">
        <v>0</v>
      </c>
      <c r="N85" t="n">
        <v>0</v>
      </c>
      <c r="O85" t="n">
        <v>0</v>
      </c>
      <c r="P85" t="n">
        <v>0</v>
      </c>
      <c r="Q85" t="n">
        <v>0</v>
      </c>
      <c r="R85" s="2" t="inlineStr"/>
    </row>
    <row r="86" ht="15" customHeight="1">
      <c r="A86" t="inlineStr">
        <is>
          <t>A 38880-2025</t>
        </is>
      </c>
      <c r="B86" s="1" t="n">
        <v>45887.57966435186</v>
      </c>
      <c r="C86" s="1" t="n">
        <v>45963</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45963</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32948-2025</t>
        </is>
      </c>
      <c r="B88" s="1" t="n">
        <v>45839</v>
      </c>
      <c r="C88" s="1" t="n">
        <v>45963</v>
      </c>
      <c r="D88" t="inlineStr">
        <is>
          <t>STOCKHOLMS LÄN</t>
        </is>
      </c>
      <c r="E88" t="inlineStr">
        <is>
          <t>HANINGE</t>
        </is>
      </c>
      <c r="G88" t="n">
        <v>1.1</v>
      </c>
      <c r="H88" t="n">
        <v>0</v>
      </c>
      <c r="I88" t="n">
        <v>0</v>
      </c>
      <c r="J88" t="n">
        <v>0</v>
      </c>
      <c r="K88" t="n">
        <v>0</v>
      </c>
      <c r="L88" t="n">
        <v>0</v>
      </c>
      <c r="M88" t="n">
        <v>0</v>
      </c>
      <c r="N88" t="n">
        <v>0</v>
      </c>
      <c r="O88" t="n">
        <v>0</v>
      </c>
      <c r="P88" t="n">
        <v>0</v>
      </c>
      <c r="Q88" t="n">
        <v>0</v>
      </c>
      <c r="R88" s="2" t="inlineStr"/>
    </row>
    <row r="89" ht="15" customHeight="1">
      <c r="A89" t="inlineStr">
        <is>
          <t>A 64548-2020</t>
        </is>
      </c>
      <c r="B89" s="1" t="n">
        <v>44166</v>
      </c>
      <c r="C89" s="1" t="n">
        <v>45963</v>
      </c>
      <c r="D89" t="inlineStr">
        <is>
          <t>STOCKHOLMS LÄN</t>
        </is>
      </c>
      <c r="E89" t="inlineStr">
        <is>
          <t>HANINGE</t>
        </is>
      </c>
      <c r="G89" t="n">
        <v>7.2</v>
      </c>
      <c r="H89" t="n">
        <v>0</v>
      </c>
      <c r="I89" t="n">
        <v>0</v>
      </c>
      <c r="J89" t="n">
        <v>0</v>
      </c>
      <c r="K89" t="n">
        <v>0</v>
      </c>
      <c r="L89" t="n">
        <v>0</v>
      </c>
      <c r="M89" t="n">
        <v>0</v>
      </c>
      <c r="N89" t="n">
        <v>0</v>
      </c>
      <c r="O89" t="n">
        <v>0</v>
      </c>
      <c r="P89" t="n">
        <v>0</v>
      </c>
      <c r="Q89" t="n">
        <v>0</v>
      </c>
      <c r="R89" s="2" t="inlineStr"/>
    </row>
    <row r="90" ht="15" customHeight="1">
      <c r="A90" t="inlineStr">
        <is>
          <t>A 14264-2025</t>
        </is>
      </c>
      <c r="B90" s="1" t="n">
        <v>45740.6340162037</v>
      </c>
      <c r="C90" s="1" t="n">
        <v>45963</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45963</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8163-2024</t>
        </is>
      </c>
      <c r="B92" s="1" t="n">
        <v>45351.60337962963</v>
      </c>
      <c r="C92" s="1" t="n">
        <v>45963</v>
      </c>
      <c r="D92" t="inlineStr">
        <is>
          <t>STOCKHOLMS LÄN</t>
        </is>
      </c>
      <c r="E92" t="inlineStr">
        <is>
          <t>HANINGE</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25584-2023</t>
        </is>
      </c>
      <c r="B93" s="1" t="n">
        <v>45089</v>
      </c>
      <c r="C93" s="1" t="n">
        <v>45963</v>
      </c>
      <c r="D93" t="inlineStr">
        <is>
          <t>STOCKHOLMS LÄN</t>
        </is>
      </c>
      <c r="E93" t="inlineStr">
        <is>
          <t>HANINGE</t>
        </is>
      </c>
      <c r="G93" t="n">
        <v>4.8</v>
      </c>
      <c r="H93" t="n">
        <v>0</v>
      </c>
      <c r="I93" t="n">
        <v>0</v>
      </c>
      <c r="J93" t="n">
        <v>0</v>
      </c>
      <c r="K93" t="n">
        <v>0</v>
      </c>
      <c r="L93" t="n">
        <v>0</v>
      </c>
      <c r="M93" t="n">
        <v>0</v>
      </c>
      <c r="N93" t="n">
        <v>0</v>
      </c>
      <c r="O93" t="n">
        <v>0</v>
      </c>
      <c r="P93" t="n">
        <v>0</v>
      </c>
      <c r="Q93" t="n">
        <v>0</v>
      </c>
      <c r="R93" s="2" t="inlineStr"/>
    </row>
    <row r="94" ht="15" customHeight="1">
      <c r="A94" t="inlineStr">
        <is>
          <t>A 3156-2025</t>
        </is>
      </c>
      <c r="B94" s="1" t="n">
        <v>45679.32142361111</v>
      </c>
      <c r="C94" s="1" t="n">
        <v>45963</v>
      </c>
      <c r="D94" t="inlineStr">
        <is>
          <t>STOCKHOLMS LÄN</t>
        </is>
      </c>
      <c r="E94" t="inlineStr">
        <is>
          <t>HANINGE</t>
        </is>
      </c>
      <c r="G94" t="n">
        <v>3.3</v>
      </c>
      <c r="H94" t="n">
        <v>0</v>
      </c>
      <c r="I94" t="n">
        <v>0</v>
      </c>
      <c r="J94" t="n">
        <v>0</v>
      </c>
      <c r="K94" t="n">
        <v>0</v>
      </c>
      <c r="L94" t="n">
        <v>0</v>
      </c>
      <c r="M94" t="n">
        <v>0</v>
      </c>
      <c r="N94" t="n">
        <v>0</v>
      </c>
      <c r="O94" t="n">
        <v>0</v>
      </c>
      <c r="P94" t="n">
        <v>0</v>
      </c>
      <c r="Q94" t="n">
        <v>0</v>
      </c>
      <c r="R94" s="2" t="inlineStr"/>
    </row>
    <row r="95" ht="15" customHeight="1">
      <c r="A95" t="inlineStr">
        <is>
          <t>A 17020-2022</t>
        </is>
      </c>
      <c r="B95" s="1" t="n">
        <v>44676</v>
      </c>
      <c r="C95" s="1" t="n">
        <v>45963</v>
      </c>
      <c r="D95" t="inlineStr">
        <is>
          <t>STOCKHOLMS LÄN</t>
        </is>
      </c>
      <c r="E95" t="inlineStr">
        <is>
          <t>HANINGE</t>
        </is>
      </c>
      <c r="F95" t="inlineStr">
        <is>
          <t>Övriga statliga verk och myndigheter</t>
        </is>
      </c>
      <c r="G95" t="n">
        <v>12.4</v>
      </c>
      <c r="H95" t="n">
        <v>0</v>
      </c>
      <c r="I95" t="n">
        <v>0</v>
      </c>
      <c r="J95" t="n">
        <v>0</v>
      </c>
      <c r="K95" t="n">
        <v>0</v>
      </c>
      <c r="L95" t="n">
        <v>0</v>
      </c>
      <c r="M95" t="n">
        <v>0</v>
      </c>
      <c r="N95" t="n">
        <v>0</v>
      </c>
      <c r="O95" t="n">
        <v>0</v>
      </c>
      <c r="P95" t="n">
        <v>0</v>
      </c>
      <c r="Q95" t="n">
        <v>0</v>
      </c>
      <c r="R95" s="2" t="inlineStr"/>
    </row>
    <row r="96" ht="15" customHeight="1">
      <c r="A96" t="inlineStr">
        <is>
          <t>A 17765-2024</t>
        </is>
      </c>
      <c r="B96" s="1" t="n">
        <v>45418.63149305555</v>
      </c>
      <c r="C96" s="1" t="n">
        <v>45963</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c r="A97" t="inlineStr">
        <is>
          <t>A 48606-2025</t>
        </is>
      </c>
      <c r="B97" s="1" t="n">
        <v>45936.47019675926</v>
      </c>
      <c r="C97" s="1" t="n">
        <v>45963</v>
      </c>
      <c r="D97" t="inlineStr">
        <is>
          <t>STOCKHOLMS LÄN</t>
        </is>
      </c>
      <c r="E97" t="inlineStr">
        <is>
          <t>HANINGE</t>
        </is>
      </c>
      <c r="G97" t="n">
        <v>6.9</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2025-11-02T10:02:38Z</dcterms:created>
  <dcterms:modified xmlns:dcterms="http://purl.org/dc/terms/" xmlns:xsi="http://www.w3.org/2001/XMLSchema-instance" xsi:type="dcterms:W3CDTF">2025-11-02T10:02:38Z</dcterms:modified>
</cp:coreProperties>
</file>