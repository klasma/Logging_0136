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46260</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46260</v>
      </c>
      <c r="F4" t="inlineStr">
        <is>
          <t>STOCKHOLMS LÄN</t>
        </is>
      </c>
      <c r="G4" t="inlineStr">
        <is>
          <t>HANINGE</t>
        </is>
      </c>
      <c r="I4" t="n">
        <v>19.9</v>
      </c>
      <c r="J4" t="n">
        <v>14</v>
      </c>
      <c r="K4" t="n">
        <v>16</v>
      </c>
      <c r="L4" t="n">
        <v>14</v>
      </c>
      <c r="M4" t="n">
        <v>7</v>
      </c>
      <c r="N4" t="n">
        <v>0</v>
      </c>
      <c r="O4" t="n">
        <v>0</v>
      </c>
      <c r="P4" t="n">
        <v>0</v>
      </c>
      <c r="Q4" t="n">
        <v>21</v>
      </c>
      <c r="R4" t="n">
        <v>7</v>
      </c>
      <c r="S4" t="n">
        <v>46</v>
      </c>
      <c r="T4" t="n">
        <v>148</v>
      </c>
      <c r="U4" t="n">
        <v>13</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46260</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46260</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46260</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46260</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46260</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46260</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46260</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46260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46260</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46260</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46260</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46260</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46260</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46260</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46260</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46260</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46260</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46260</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46260</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4297-2024</t>
        </is>
      </c>
      <c r="B44" t="inlineStr">
        <is>
          <t>avverkningsanmälan</t>
        </is>
      </c>
      <c r="C44" t="inlineStr">
        <is>
          <t>Föryngringsavverkning</t>
        </is>
      </c>
      <c r="D44" s="1" t="n">
        <v>45324</v>
      </c>
      <c r="E44" s="1" t="n">
        <v>46260</v>
      </c>
      <c r="F44" t="inlineStr">
        <is>
          <t>STOCKHOLMS LÄN</t>
        </is>
      </c>
      <c r="G44" t="inlineStr">
        <is>
          <t>HANINGE</t>
        </is>
      </c>
      <c r="H44" t="inlineStr">
        <is>
          <t>Kommuner</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46260</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13046-2022</t>
        </is>
      </c>
      <c r="B46" t="inlineStr">
        <is>
          <t>avverkningsanmälan</t>
        </is>
      </c>
      <c r="C46" t="inlineStr">
        <is>
          <t>Föryngringsavverkning</t>
        </is>
      </c>
      <c r="D46" s="1" t="n">
        <v>44643</v>
      </c>
      <c r="E46" s="1" t="n">
        <v>46260</v>
      </c>
      <c r="F46" t="inlineStr">
        <is>
          <t>STOCKHOLMS LÄN</t>
        </is>
      </c>
      <c r="G46" t="inlineStr">
        <is>
          <t>HANINGE</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50306-2023</t>
        </is>
      </c>
      <c r="B47" t="inlineStr">
        <is>
          <t>avverkningsanmälan</t>
        </is>
      </c>
      <c r="C47" t="inlineStr">
        <is>
          <t>Föryngringsavverkning</t>
        </is>
      </c>
      <c r="D47" s="1" t="n">
        <v>45209</v>
      </c>
      <c r="E47" s="1" t="n">
        <v>46260</v>
      </c>
      <c r="F47" t="inlineStr">
        <is>
          <t>STOCKHOLMS LÄN</t>
        </is>
      </c>
      <c r="G47" t="inlineStr">
        <is>
          <t>HANINGE</t>
        </is>
      </c>
      <c r="I47" t="n">
        <v>2.3</v>
      </c>
      <c r="J47" t="n">
        <v>0</v>
      </c>
      <c r="K47" t="n">
        <v>0</v>
      </c>
      <c r="L47" t="n">
        <v>0</v>
      </c>
      <c r="M47" t="n">
        <v>0</v>
      </c>
      <c r="N47" t="n">
        <v>0</v>
      </c>
      <c r="O47" t="n">
        <v>0</v>
      </c>
      <c r="P47" t="n">
        <v>0</v>
      </c>
      <c r="Q47" t="n">
        <v>0</v>
      </c>
      <c r="R47" t="n">
        <v>0</v>
      </c>
      <c r="S47" t="n">
        <v>0</v>
      </c>
      <c r="T47" t="n">
        <v>0</v>
      </c>
      <c r="U47" t="n">
        <v>0</v>
      </c>
      <c r="V47" s="2" t="inlineStr"/>
      <c r="Z47">
        <f>HYPERLINK("https://klasma.github.io/Logging_0136/knärot/A 50306-2023 karta knärot.png", "A 50306-2023")</f>
        <v/>
      </c>
      <c r="AA47">
        <f>HYPERLINK("https://klasma.github.io/Logging_0136/klagomål/A 50306-2023 FSC-klagomål.docx", "A 50306-2023")</f>
        <v/>
      </c>
      <c r="AB47">
        <f>HYPERLINK("https://klasma.github.io/Logging_0136/klagomålsmail/A 50306-2023 FSC-klagomål mail.docx", "A 50306-2023")</f>
        <v/>
      </c>
      <c r="AC47">
        <f>HYPERLINK("https://klasma.github.io/Logging_0136/tillsyn/A 50306-2023 tillsynsbegäran.docx", "A 50306-2023")</f>
        <v/>
      </c>
      <c r="AD47">
        <f>HYPERLINK("https://klasma.github.io/Logging_0136/tillsynsmail/A 50306-2023 tillsynsbegäran mail.docx", "A 50306-2023")</f>
        <v/>
      </c>
    </row>
    <row r="48" ht="15" customHeight="1">
      <c r="A48" t="inlineStr">
        <is>
          <t>A 22288-2023</t>
        </is>
      </c>
      <c r="B48" t="inlineStr">
        <is>
          <t>avverkningsanmälan</t>
        </is>
      </c>
      <c r="C48" t="inlineStr">
        <is>
          <t>Föryngringsavverkning</t>
        </is>
      </c>
      <c r="D48" s="1" t="n">
        <v>45070</v>
      </c>
      <c r="E48" s="1" t="n">
        <v>46260</v>
      </c>
      <c r="F48" t="inlineStr">
        <is>
          <t>STOCKHOLMS LÄN</t>
        </is>
      </c>
      <c r="G48" t="inlineStr">
        <is>
          <t>HANINGE</t>
        </is>
      </c>
      <c r="I48" t="n">
        <v>2.8</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46260</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12787-2026</t>
        </is>
      </c>
      <c r="B50" t="inlineStr">
        <is>
          <t>avverkningsanmälan</t>
        </is>
      </c>
      <c r="C50" t="inlineStr">
        <is>
          <t>Föryngringsavverkning</t>
        </is>
      </c>
      <c r="D50" s="1" t="n">
        <v>46091</v>
      </c>
      <c r="E50" s="1" t="n">
        <v>46260</v>
      </c>
      <c r="F50" t="inlineStr">
        <is>
          <t>STOCKHOLMS LÄN</t>
        </is>
      </c>
      <c r="G50" t="inlineStr">
        <is>
          <t>HANINGE</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18512-2024</t>
        </is>
      </c>
      <c r="B51" t="inlineStr">
        <is>
          <t>avverkningsanmälan</t>
        </is>
      </c>
      <c r="C51" t="inlineStr">
        <is>
          <t>Föryngringsavverkning</t>
        </is>
      </c>
      <c r="D51" s="1" t="n">
        <v>45425</v>
      </c>
      <c r="E51" s="1" t="n">
        <v>46260</v>
      </c>
      <c r="F51" t="inlineStr">
        <is>
          <t>STOCKHOLMS LÄN</t>
        </is>
      </c>
      <c r="G51" t="inlineStr">
        <is>
          <t>HANINGE</t>
        </is>
      </c>
      <c r="H51" t="inlineStr">
        <is>
          <t>Kommuner</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32948-2025</t>
        </is>
      </c>
      <c r="B52" t="inlineStr">
        <is>
          <t>avverkningsanmälan</t>
        </is>
      </c>
      <c r="C52" t="inlineStr">
        <is>
          <t>Föryngringsavverkning</t>
        </is>
      </c>
      <c r="D52" s="1" t="n">
        <v>45839</v>
      </c>
      <c r="E52" s="1" t="n">
        <v>46260</v>
      </c>
      <c r="F52" t="inlineStr">
        <is>
          <t>STOCKHOLMS LÄN</t>
        </is>
      </c>
      <c r="G52" t="inlineStr">
        <is>
          <t>HANINGE</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48606-2025</t>
        </is>
      </c>
      <c r="B53" t="inlineStr">
        <is>
          <t>avverkningsanmälan</t>
        </is>
      </c>
      <c r="C53" t="inlineStr">
        <is>
          <t>Föryngringsavverkning</t>
        </is>
      </c>
      <c r="D53" s="1" t="n">
        <v>45936</v>
      </c>
      <c r="E53" s="1" t="n">
        <v>46260</v>
      </c>
      <c r="F53" t="inlineStr">
        <is>
          <t>STOCKHOLMS LÄN</t>
        </is>
      </c>
      <c r="G53" t="inlineStr">
        <is>
          <t>HANINGE</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59569-2025</t>
        </is>
      </c>
      <c r="B54" t="inlineStr">
        <is>
          <t>avverkningsanmälan</t>
        </is>
      </c>
      <c r="C54" t="inlineStr">
        <is>
          <t>Föryngringsavverkning</t>
        </is>
      </c>
      <c r="D54" s="1" t="n">
        <v>45991</v>
      </c>
      <c r="E54" s="1" t="n">
        <v>46260</v>
      </c>
      <c r="F54" t="inlineStr">
        <is>
          <t>STOCKHOLMS LÄN</t>
        </is>
      </c>
      <c r="G54" t="inlineStr">
        <is>
          <t>HANINGE</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46260</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46260</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18490-2025</t>
        </is>
      </c>
      <c r="B57" t="inlineStr">
        <is>
          <t>avverkningsanmälan</t>
        </is>
      </c>
      <c r="C57" t="inlineStr">
        <is>
          <t>Föryngringsavverkning</t>
        </is>
      </c>
      <c r="D57" s="1" t="n">
        <v>45763</v>
      </c>
      <c r="E57" s="1" t="n">
        <v>46260</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18548-2024</t>
        </is>
      </c>
      <c r="B58" t="inlineStr">
        <is>
          <t>avverkningsanmälan</t>
        </is>
      </c>
      <c r="C58" t="inlineStr">
        <is>
          <t>Föryngringsavverkning</t>
        </is>
      </c>
      <c r="D58" s="1" t="n">
        <v>45425</v>
      </c>
      <c r="E58" s="1" t="n">
        <v>46260</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t="n">
        <v>0</v>
      </c>
      <c r="V58" s="2" t="inlineStr"/>
    </row>
    <row r="59" ht="15" customHeight="1">
      <c r="A59" t="inlineStr">
        <is>
          <t>A 20839-2024</t>
        </is>
      </c>
      <c r="B59" t="inlineStr">
        <is>
          <t>avverkningsanmälan</t>
        </is>
      </c>
      <c r="C59" t="inlineStr">
        <is>
          <t>Föryngringsavverkning</t>
        </is>
      </c>
      <c r="D59" s="1" t="n">
        <v>45439</v>
      </c>
      <c r="E59" s="1" t="n">
        <v>46260</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5474-2024</t>
        </is>
      </c>
      <c r="B60" t="inlineStr">
        <is>
          <t>avverkningsanmälan</t>
        </is>
      </c>
      <c r="C60" t="inlineStr">
        <is>
          <t>Föryngringsavverkning</t>
        </is>
      </c>
      <c r="D60" s="1" t="n">
        <v>45333</v>
      </c>
      <c r="E60" s="1" t="n">
        <v>46260</v>
      </c>
      <c r="F60" t="inlineStr">
        <is>
          <t>STOCKHOLMS LÄN</t>
        </is>
      </c>
      <c r="G60" t="inlineStr">
        <is>
          <t>HANINGE</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46260</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68896-2021</t>
        </is>
      </c>
      <c r="B62" t="inlineStr">
        <is>
          <t>avverkningsanmälan</t>
        </is>
      </c>
      <c r="C62" t="inlineStr">
        <is>
          <t>Föryngringsavverkning</t>
        </is>
      </c>
      <c r="D62" s="1" t="n">
        <v>44526</v>
      </c>
      <c r="E62" s="1" t="n">
        <v>46260</v>
      </c>
      <c r="F62" t="inlineStr">
        <is>
          <t>STOCKHOLMS LÄN</t>
        </is>
      </c>
      <c r="G62" t="inlineStr">
        <is>
          <t>HANINGE</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14264-2025</t>
        </is>
      </c>
      <c r="B63" t="inlineStr">
        <is>
          <t>avverkningsanmälan</t>
        </is>
      </c>
      <c r="C63" t="inlineStr">
        <is>
          <t>Föryngringsavverkning</t>
        </is>
      </c>
      <c r="D63" s="1" t="n">
        <v>45740</v>
      </c>
      <c r="E63" s="1" t="n">
        <v>46260</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24800-2026</t>
        </is>
      </c>
      <c r="B64" t="inlineStr">
        <is>
          <t>avverkningsanmälan</t>
        </is>
      </c>
      <c r="C64" t="inlineStr">
        <is>
          <t>Föryngringsavverkning</t>
        </is>
      </c>
      <c r="D64" s="1" t="n">
        <v>46171</v>
      </c>
      <c r="E64" s="1" t="n">
        <v>46260</v>
      </c>
      <c r="F64" t="inlineStr">
        <is>
          <t>STOCKHOLMS LÄN</t>
        </is>
      </c>
      <c r="G64" t="inlineStr">
        <is>
          <t>HANINGE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33792-2023</t>
        </is>
      </c>
      <c r="B65" t="inlineStr">
        <is>
          <t>avverkningsanmälan</t>
        </is>
      </c>
      <c r="C65" t="inlineStr">
        <is>
          <t>Föryngringsavverkning</t>
        </is>
      </c>
      <c r="D65" s="1" t="n">
        <v>45121</v>
      </c>
      <c r="E65" s="1" t="n">
        <v>46260</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14900-2025</t>
        </is>
      </c>
      <c r="B66" t="inlineStr">
        <is>
          <t>avverkningsanmälan</t>
        </is>
      </c>
      <c r="C66" t="inlineStr">
        <is>
          <t>Föryngringsavverkning</t>
        </is>
      </c>
      <c r="D66" s="1" t="n">
        <v>45743</v>
      </c>
      <c r="E66" s="1" t="n">
        <v>46260</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26417-2026</t>
        </is>
      </c>
      <c r="B67" t="inlineStr">
        <is>
          <t>avverkningsanmälan</t>
        </is>
      </c>
      <c r="C67" t="inlineStr">
        <is>
          <t>Föryngringsavverkning</t>
        </is>
      </c>
      <c r="D67" s="1" t="n">
        <v>46183</v>
      </c>
      <c r="E67" s="1" t="n">
        <v>46260</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20527-2025</t>
        </is>
      </c>
      <c r="B68" t="inlineStr">
        <is>
          <t>avverkningsanmälan</t>
        </is>
      </c>
      <c r="C68" t="inlineStr">
        <is>
          <t>Föryngringsavverkning</t>
        </is>
      </c>
      <c r="D68" s="1" t="n">
        <v>45775</v>
      </c>
      <c r="E68" s="1" t="n">
        <v>46260</v>
      </c>
      <c r="F68" t="inlineStr">
        <is>
          <t>STOCKHOLMS LÄN</t>
        </is>
      </c>
      <c r="G68" t="inlineStr">
        <is>
          <t>HANINGE</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46260</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26886-2026</t>
        </is>
      </c>
      <c r="B70" t="inlineStr">
        <is>
          <t>avverkningsanmälan</t>
        </is>
      </c>
      <c r="C70" t="inlineStr">
        <is>
          <t>Avverkning för annat ändamål</t>
        </is>
      </c>
      <c r="D70" s="1" t="n">
        <v>46185</v>
      </c>
      <c r="E70" s="1" t="n">
        <v>46260</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1180-2024</t>
        </is>
      </c>
      <c r="B71" t="inlineStr">
        <is>
          <t>avverkningsanmälan</t>
        </is>
      </c>
      <c r="C71" t="inlineStr">
        <is>
          <t>Föryngringsavverkning</t>
        </is>
      </c>
      <c r="D71" s="1" t="n">
        <v>45302</v>
      </c>
      <c r="E71" s="1" t="n">
        <v>46260</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24873-2023</t>
        </is>
      </c>
      <c r="B72" t="inlineStr">
        <is>
          <t>avverkningsanmälan</t>
        </is>
      </c>
      <c r="C72" t="inlineStr">
        <is>
          <t>Föryngringsavverkning</t>
        </is>
      </c>
      <c r="D72" s="1" t="n">
        <v>45085</v>
      </c>
      <c r="E72" s="1" t="n">
        <v>46260</v>
      </c>
      <c r="F72" t="inlineStr">
        <is>
          <t>STOCKHOLMS LÄN</t>
        </is>
      </c>
      <c r="G72" t="inlineStr">
        <is>
          <t>HANINGE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58599-2023</t>
        </is>
      </c>
      <c r="B73" t="inlineStr">
        <is>
          <t>avverkningsanmälan</t>
        </is>
      </c>
      <c r="C73" t="inlineStr">
        <is>
          <t>Föryngringsavverkning</t>
        </is>
      </c>
      <c r="D73" s="1" t="n">
        <v>45251</v>
      </c>
      <c r="E73" s="1" t="n">
        <v>46260</v>
      </c>
      <c r="F73" t="inlineStr">
        <is>
          <t>STOCKHOLMS LÄN</t>
        </is>
      </c>
      <c r="G73" t="inlineStr">
        <is>
          <t>HANINGE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52836-2024</t>
        </is>
      </c>
      <c r="B74" t="inlineStr">
        <is>
          <t>avverkningsanmälan</t>
        </is>
      </c>
      <c r="C74" t="inlineStr">
        <is>
          <t>Föryngringsavverkning</t>
        </is>
      </c>
      <c r="D74" s="1" t="n">
        <v>45610</v>
      </c>
      <c r="E74" s="1" t="n">
        <v>46260</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46260</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8078-2024</t>
        </is>
      </c>
      <c r="B76" t="inlineStr">
        <is>
          <t>avverkningsanmälan</t>
        </is>
      </c>
      <c r="C76" t="inlineStr">
        <is>
          <t>Föryngringsavverkning</t>
        </is>
      </c>
      <c r="D76" s="1" t="n">
        <v>45351</v>
      </c>
      <c r="E76" s="1" t="n">
        <v>46260</v>
      </c>
      <c r="F76" t="inlineStr">
        <is>
          <t>STOCKHOLMS LÄN</t>
        </is>
      </c>
      <c r="G76" t="inlineStr">
        <is>
          <t>HANINGE</t>
        </is>
      </c>
      <c r="H76" t="inlineStr">
        <is>
          <t>Kommuner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19220-2023</t>
        </is>
      </c>
      <c r="B77" t="inlineStr">
        <is>
          <t>avverkningsanmälan</t>
        </is>
      </c>
      <c r="C77" t="inlineStr">
        <is>
          <t>Föryngringsavverkning</t>
        </is>
      </c>
      <c r="D77" s="1" t="n">
        <v>45048</v>
      </c>
      <c r="E77" s="1" t="n">
        <v>46260</v>
      </c>
      <c r="F77" t="inlineStr">
        <is>
          <t>STOCKHOLMS LÄN</t>
        </is>
      </c>
      <c r="G77" t="inlineStr">
        <is>
          <t>HANINGE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25584-2023</t>
        </is>
      </c>
      <c r="B78" t="inlineStr">
        <is>
          <t>avverkningsanmälan</t>
        </is>
      </c>
      <c r="C78" t="inlineStr">
        <is>
          <t>Föryngringsavverkning</t>
        </is>
      </c>
      <c r="D78" s="1" t="n">
        <v>45089</v>
      </c>
      <c r="E78" s="1" t="n">
        <v>46260</v>
      </c>
      <c r="F78" t="inlineStr">
        <is>
          <t>STOCKHOLMS LÄN</t>
        </is>
      </c>
      <c r="G78" t="inlineStr">
        <is>
          <t>HANINGE</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3156-2025</t>
        </is>
      </c>
      <c r="B79" t="inlineStr">
        <is>
          <t>avverkningsanmälan</t>
        </is>
      </c>
      <c r="C79" t="inlineStr">
        <is>
          <t>Föryngringsavverkning</t>
        </is>
      </c>
      <c r="D79" s="1" t="n">
        <v>45679</v>
      </c>
      <c r="E79" s="1" t="n">
        <v>46260</v>
      </c>
      <c r="F79" t="inlineStr">
        <is>
          <t>STOCKHOLMS LÄN</t>
        </is>
      </c>
      <c r="G79" t="inlineStr">
        <is>
          <t>HANINGE</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17765-2024</t>
        </is>
      </c>
      <c r="B80" t="inlineStr">
        <is>
          <t>avverkningsanmälan</t>
        </is>
      </c>
      <c r="C80" t="inlineStr">
        <is>
          <t>Föryngringsavverkning</t>
        </is>
      </c>
      <c r="D80" s="1" t="n">
        <v>45418</v>
      </c>
      <c r="E80" s="1" t="n">
        <v>46260</v>
      </c>
      <c r="F80" t="inlineStr">
        <is>
          <t>STOCKHOLMS LÄN</t>
        </is>
      </c>
      <c r="G80" t="inlineStr">
        <is>
          <t>HANINGE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46260</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46260</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46260</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46260</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46260</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2026-08-26T01:51:42Z</dcterms:created>
  <dcterms:modified xmlns:dcterms="http://purl.org/dc/terms/" xmlns:xsi="http://www.w3.org/2001/XMLSchema-instance" xsi:type="dcterms:W3CDTF">2026-08-26T01:51:42Z</dcterms:modified>
</cp:coreProperties>
</file>