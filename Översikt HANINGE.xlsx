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46235</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46235</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46235</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46235</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46235</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67894-2021</t>
        </is>
      </c>
      <c r="B9" t="inlineStr">
        <is>
          <t>avverkningsanmälan</t>
        </is>
      </c>
      <c r="C9" t="inlineStr">
        <is>
          <t>Föryngringsavverkning</t>
        </is>
      </c>
      <c r="D9" s="1" t="n">
        <v>44525</v>
      </c>
      <c r="E9" s="1" t="n">
        <v>46235</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46235</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46235</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46235</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46235</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46235</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46235</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46235</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46235</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46235</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46235</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46235</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46235</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46235</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46235</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46235</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46235</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60369-2023</t>
        </is>
      </c>
      <c r="B26" t="inlineStr">
        <is>
          <t>avverkningsanmälan</t>
        </is>
      </c>
      <c r="C26" t="inlineStr">
        <is>
          <t>Föryngringsavverkning</t>
        </is>
      </c>
      <c r="D26" s="1" t="n">
        <v>45259</v>
      </c>
      <c r="E26" s="1" t="n">
        <v>46235</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37004-2022</t>
        </is>
      </c>
      <c r="B27" t="inlineStr">
        <is>
          <t>avverkningsanmälan</t>
        </is>
      </c>
      <c r="C27" t="inlineStr">
        <is>
          <t>Föryngringsavverkning</t>
        </is>
      </c>
      <c r="D27" s="1" t="n">
        <v>44806</v>
      </c>
      <c r="E27" s="1" t="n">
        <v>46235</v>
      </c>
      <c r="F27" t="inlineStr">
        <is>
          <t>STOCKHOLMS LÄN</t>
        </is>
      </c>
      <c r="G27" t="inlineStr">
        <is>
          <t>HANINGE</t>
        </is>
      </c>
      <c r="H27" t="inlineStr">
        <is>
          <t>Övriga statliga verk och myndigheter</t>
        </is>
      </c>
      <c r="I27" t="n">
        <v>4.4</v>
      </c>
      <c r="J27" t="n">
        <v>1</v>
      </c>
      <c r="K27" t="n">
        <v>1</v>
      </c>
      <c r="L27" t="n">
        <v>0</v>
      </c>
      <c r="M27" t="n">
        <v>0</v>
      </c>
      <c r="N27" t="n">
        <v>0</v>
      </c>
      <c r="O27" t="n">
        <v>0</v>
      </c>
      <c r="P27" t="n">
        <v>0</v>
      </c>
      <c r="Q27" t="n">
        <v>0</v>
      </c>
      <c r="R27" t="n">
        <v>0</v>
      </c>
      <c r="S27" t="n">
        <v>1</v>
      </c>
      <c r="T27" t="n">
        <v>1</v>
      </c>
      <c r="U27" t="n">
        <v>1</v>
      </c>
      <c r="V27" s="2" t="inlineStr">
        <is>
          <t>Skogsknipprot</t>
        </is>
      </c>
      <c r="W27">
        <f>HYPERLINK("https://klasma.github.io/Logging_0136/artfynd/A 37004-2022 artfynd.xlsx", "A 37004-2022")</f>
        <v/>
      </c>
      <c r="X27">
        <f>HYPERLINK("https://klasma.github.io/Logging_0136/kartor/A 37004-2022 karta.png", "A 37004-2022")</f>
        <v/>
      </c>
      <c r="Y27">
        <f>HYPERLINK("https://klasma.github.io/Logging_0136/kartor_geotiff/A 37004-2022 georefererad karta.tif", "A 37004-2022")</f>
        <v/>
      </c>
      <c r="AA27">
        <f>HYPERLINK("https://klasma.github.io/Logging_0136/klagomål/A 37004-2022 FSC-klagomål.docx", "A 37004-2022")</f>
        <v/>
      </c>
      <c r="AB27">
        <f>HYPERLINK("https://klasma.github.io/Logging_0136/klagomålsmail/A 37004-2022 FSC-klagomål mail.docx", "A 37004-2022")</f>
        <v/>
      </c>
      <c r="AC27">
        <f>HYPERLINK("https://klasma.github.io/Logging_0136/tillsyn/A 37004-2022 tillsynsbegäran.docx", "A 37004-2022")</f>
        <v/>
      </c>
      <c r="AD27">
        <f>HYPERLINK("https://klasma.github.io/Logging_0136/tillsynsmail/A 37004-2022 tillsynsbegäran mail.docx", "A 37004-2022")</f>
        <v/>
      </c>
    </row>
    <row r="28" ht="15" customHeight="1">
      <c r="A28" t="inlineStr">
        <is>
          <t>A 6648-2023</t>
        </is>
      </c>
      <c r="B28" t="inlineStr">
        <is>
          <t>avverkningsanmälan</t>
        </is>
      </c>
      <c r="C28" t="inlineStr">
        <is>
          <t>Föryngringsavverkning</t>
        </is>
      </c>
      <c r="D28" s="1" t="n">
        <v>44966</v>
      </c>
      <c r="E28" s="1" t="n">
        <v>46235</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46235</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34823-2022</t>
        </is>
      </c>
      <c r="B30" t="inlineStr">
        <is>
          <t>avverkningsanmälan</t>
        </is>
      </c>
      <c r="C30" t="inlineStr">
        <is>
          <t>Föryngringsavverkning</t>
        </is>
      </c>
      <c r="D30" s="1" t="n">
        <v>44796</v>
      </c>
      <c r="E30" s="1" t="n">
        <v>46235</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46235</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46235</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46235</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46235</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46235</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46235</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46235</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46235</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46235</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46235</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46235</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46235</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46235</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41809-2021</t>
        </is>
      </c>
      <c r="B44" t="inlineStr">
        <is>
          <t>avverkningsanmälan</t>
        </is>
      </c>
      <c r="C44" t="inlineStr">
        <is>
          <t>Föryngringsavverkning</t>
        </is>
      </c>
      <c r="D44" s="1" t="n">
        <v>44425</v>
      </c>
      <c r="E44" s="1" t="n">
        <v>46235</v>
      </c>
      <c r="F44" t="inlineStr">
        <is>
          <t>STOCKHOLMS LÄN</t>
        </is>
      </c>
      <c r="G44" t="inlineStr">
        <is>
          <t>HANINGE</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46235</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46235</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68894-2021</t>
        </is>
      </c>
      <c r="B47" t="inlineStr">
        <is>
          <t>avverkningsanmälan</t>
        </is>
      </c>
      <c r="C47" t="inlineStr">
        <is>
          <t>Föryngringsavverkning</t>
        </is>
      </c>
      <c r="D47" s="1" t="n">
        <v>44526</v>
      </c>
      <c r="E47" s="1" t="n">
        <v>46235</v>
      </c>
      <c r="F47" t="inlineStr">
        <is>
          <t>STOCKHOLMS LÄN</t>
        </is>
      </c>
      <c r="G47" t="inlineStr">
        <is>
          <t>HANINGE</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3156-2025</t>
        </is>
      </c>
      <c r="B48" t="inlineStr">
        <is>
          <t>avverkningsanmälan</t>
        </is>
      </c>
      <c r="C48" t="inlineStr">
        <is>
          <t>Föryngringsavverkning</t>
        </is>
      </c>
      <c r="D48" s="1" t="n">
        <v>45679</v>
      </c>
      <c r="E48" s="1" t="n">
        <v>46235</v>
      </c>
      <c r="F48" t="inlineStr">
        <is>
          <t>STOCKHOLMS LÄN</t>
        </is>
      </c>
      <c r="G48" t="inlineStr">
        <is>
          <t>HANINGE</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18491-2025</t>
        </is>
      </c>
      <c r="B49" t="inlineStr">
        <is>
          <t>avverkningsanmälan</t>
        </is>
      </c>
      <c r="C49" t="inlineStr">
        <is>
          <t>Föryngringsavverkning</t>
        </is>
      </c>
      <c r="D49" s="1" t="n">
        <v>45763</v>
      </c>
      <c r="E49" s="1" t="n">
        <v>46235</v>
      </c>
      <c r="F49" t="inlineStr">
        <is>
          <t>STOCKHOLMS LÄN</t>
        </is>
      </c>
      <c r="G49" t="inlineStr">
        <is>
          <t>HANINGE</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46235</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46235</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46235</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46235</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13046-2022</t>
        </is>
      </c>
      <c r="B54" t="inlineStr">
        <is>
          <t>avverkningsanmälan</t>
        </is>
      </c>
      <c r="C54" t="inlineStr">
        <is>
          <t>Föryngringsavverkning</t>
        </is>
      </c>
      <c r="D54" s="1" t="n">
        <v>44643</v>
      </c>
      <c r="E54" s="1" t="n">
        <v>46235</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46235</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8078-2024</t>
        </is>
      </c>
      <c r="B56" t="inlineStr">
        <is>
          <t>avverkningsanmälan</t>
        </is>
      </c>
      <c r="C56" t="inlineStr">
        <is>
          <t>Föryngringsavverkning</t>
        </is>
      </c>
      <c r="D56" s="1" t="n">
        <v>45351</v>
      </c>
      <c r="E56" s="1" t="n">
        <v>46235</v>
      </c>
      <c r="F56" t="inlineStr">
        <is>
          <t>STOCKHOLMS LÄN</t>
        </is>
      </c>
      <c r="G56" t="inlineStr">
        <is>
          <t>HANINGE</t>
        </is>
      </c>
      <c r="H56" t="inlineStr">
        <is>
          <t>Kommuner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50306-2023</t>
        </is>
      </c>
      <c r="B57" t="inlineStr">
        <is>
          <t>avverkningsanmälan</t>
        </is>
      </c>
      <c r="C57" t="inlineStr">
        <is>
          <t>Föryngringsavverkning</t>
        </is>
      </c>
      <c r="D57" s="1" t="n">
        <v>45209</v>
      </c>
      <c r="E57" s="1" t="n">
        <v>46235</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c r="Z57">
        <f>HYPERLINK("https://klasma.github.io/Logging_0136/knärot/A 50306-2023 karta knärot.png", "A 50306-2023")</f>
        <v/>
      </c>
      <c r="AA57">
        <f>HYPERLINK("https://klasma.github.io/Logging_0136/klagomål/A 50306-2023 FSC-klagomål.docx", "A 50306-2023")</f>
        <v/>
      </c>
      <c r="AB57">
        <f>HYPERLINK("https://klasma.github.io/Logging_0136/klagomålsmail/A 50306-2023 FSC-klagomål mail.docx", "A 50306-2023")</f>
        <v/>
      </c>
      <c r="AC57">
        <f>HYPERLINK("https://klasma.github.io/Logging_0136/tillsyn/A 50306-2023 tillsynsbegäran.docx", "A 50306-2023")</f>
        <v/>
      </c>
      <c r="AD57">
        <f>HYPERLINK("https://klasma.github.io/Logging_0136/tillsynsmail/A 50306-2023 tillsynsbegäran mail.docx", "A 50306-2023")</f>
        <v/>
      </c>
    </row>
    <row r="58" ht="15" customHeight="1">
      <c r="A58" t="inlineStr">
        <is>
          <t>A 22288-2023</t>
        </is>
      </c>
      <c r="B58" t="inlineStr">
        <is>
          <t>avverkningsanmälan</t>
        </is>
      </c>
      <c r="C58" t="inlineStr">
        <is>
          <t>Föryngringsavverkning</t>
        </is>
      </c>
      <c r="D58" s="1" t="n">
        <v>45070</v>
      </c>
      <c r="E58" s="1" t="n">
        <v>46235</v>
      </c>
      <c r="F58" t="inlineStr">
        <is>
          <t>STOCKHOLMS LÄN</t>
        </is>
      </c>
      <c r="G58" t="inlineStr">
        <is>
          <t>HANINGE</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46235</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59569-2025</t>
        </is>
      </c>
      <c r="B60" t="inlineStr">
        <is>
          <t>avverkningsanmälan</t>
        </is>
      </c>
      <c r="C60" t="inlineStr">
        <is>
          <t>Föryngringsavverkning</t>
        </is>
      </c>
      <c r="D60" s="1" t="n">
        <v>45991</v>
      </c>
      <c r="E60" s="1" t="n">
        <v>46235</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24873-2023</t>
        </is>
      </c>
      <c r="B61" t="inlineStr">
        <is>
          <t>avverkningsanmälan</t>
        </is>
      </c>
      <c r="C61" t="inlineStr">
        <is>
          <t>Föryngringsavverkning</t>
        </is>
      </c>
      <c r="D61" s="1" t="n">
        <v>45085</v>
      </c>
      <c r="E61" s="1" t="n">
        <v>46235</v>
      </c>
      <c r="F61" t="inlineStr">
        <is>
          <t>STOCKHOLMS LÄN</t>
        </is>
      </c>
      <c r="G61" t="inlineStr">
        <is>
          <t>HANINGE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46235</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20839-2024</t>
        </is>
      </c>
      <c r="B63" t="inlineStr">
        <is>
          <t>avverkningsanmälan</t>
        </is>
      </c>
      <c r="C63" t="inlineStr">
        <is>
          <t>Föryngringsavverkning</t>
        </is>
      </c>
      <c r="D63" s="1" t="n">
        <v>45439</v>
      </c>
      <c r="E63" s="1" t="n">
        <v>46235</v>
      </c>
      <c r="F63" t="inlineStr">
        <is>
          <t>STOCKHOLMS LÄN</t>
        </is>
      </c>
      <c r="G63" t="inlineStr">
        <is>
          <t>HANINGE</t>
        </is>
      </c>
      <c r="I63" t="n">
        <v>8.4</v>
      </c>
      <c r="J63" t="n">
        <v>0</v>
      </c>
      <c r="K63" t="n">
        <v>0</v>
      </c>
      <c r="L63" t="n">
        <v>0</v>
      </c>
      <c r="M63" t="n">
        <v>0</v>
      </c>
      <c r="N63" t="n">
        <v>0</v>
      </c>
      <c r="O63" t="n">
        <v>0</v>
      </c>
      <c r="P63" t="n">
        <v>0</v>
      </c>
      <c r="Q63" t="n">
        <v>0</v>
      </c>
      <c r="R63" t="n">
        <v>0</v>
      </c>
      <c r="S63" t="n">
        <v>0</v>
      </c>
      <c r="T63" t="n">
        <v>0</v>
      </c>
      <c r="U63" t="n">
        <v>0</v>
      </c>
      <c r="V63" s="2" t="inlineStr"/>
    </row>
    <row r="64" ht="15" customHeight="1">
      <c r="A64" t="inlineStr">
        <is>
          <t>A 9946-2024</t>
        </is>
      </c>
      <c r="B64" t="inlineStr">
        <is>
          <t>avverkningsanmälan</t>
        </is>
      </c>
      <c r="C64" t="inlineStr">
        <is>
          <t>Föryngringsavverkning</t>
        </is>
      </c>
      <c r="D64" s="1" t="n">
        <v>45363</v>
      </c>
      <c r="E64" s="1" t="n">
        <v>46235</v>
      </c>
      <c r="F64" t="inlineStr">
        <is>
          <t>STOCKHOLMS LÄN</t>
        </is>
      </c>
      <c r="G64" t="inlineStr">
        <is>
          <t>HANINGE</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46235</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46235</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4297-2024</t>
        </is>
      </c>
      <c r="B67" t="inlineStr">
        <is>
          <t>avverkningsanmälan</t>
        </is>
      </c>
      <c r="C67" t="inlineStr">
        <is>
          <t>Föryngringsavverkning</t>
        </is>
      </c>
      <c r="D67" s="1" t="n">
        <v>45324</v>
      </c>
      <c r="E67" s="1" t="n">
        <v>46235</v>
      </c>
      <c r="F67" t="inlineStr">
        <is>
          <t>STOCKHOLMS LÄN</t>
        </is>
      </c>
      <c r="G67" t="inlineStr">
        <is>
          <t>HANINGE</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26417-2026</t>
        </is>
      </c>
      <c r="B68" t="inlineStr">
        <is>
          <t>avverkningsanmälan</t>
        </is>
      </c>
      <c r="C68" t="inlineStr">
        <is>
          <t>Föryngringsavverkning</t>
        </is>
      </c>
      <c r="D68" s="1" t="n">
        <v>46183</v>
      </c>
      <c r="E68" s="1" t="n">
        <v>46235</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17765-2024</t>
        </is>
      </c>
      <c r="B69" t="inlineStr">
        <is>
          <t>avverkningsanmälan</t>
        </is>
      </c>
      <c r="C69" t="inlineStr">
        <is>
          <t>Föryngringsavverkning</t>
        </is>
      </c>
      <c r="D69" s="1" t="n">
        <v>45418</v>
      </c>
      <c r="E69" s="1" t="n">
        <v>46235</v>
      </c>
      <c r="F69" t="inlineStr">
        <is>
          <t>STOCKHOLMS LÄN</t>
        </is>
      </c>
      <c r="G69" t="inlineStr">
        <is>
          <t>HANINGE</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26886-2026</t>
        </is>
      </c>
      <c r="B70" t="inlineStr">
        <is>
          <t>avverkningsanmälan</t>
        </is>
      </c>
      <c r="C70" t="inlineStr">
        <is>
          <t>Avverkning för annat ändamål</t>
        </is>
      </c>
      <c r="D70" s="1" t="n">
        <v>46185</v>
      </c>
      <c r="E70" s="1" t="n">
        <v>46235</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46235</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52836-2024</t>
        </is>
      </c>
      <c r="B72" t="inlineStr">
        <is>
          <t>avverkningsanmälan</t>
        </is>
      </c>
      <c r="C72" t="inlineStr">
        <is>
          <t>Föryngringsavverkning</t>
        </is>
      </c>
      <c r="D72" s="1" t="n">
        <v>45610</v>
      </c>
      <c r="E72" s="1" t="n">
        <v>46235</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46235</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46235</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20527-2025</t>
        </is>
      </c>
      <c r="B75" t="inlineStr">
        <is>
          <t>avverkningsanmälan</t>
        </is>
      </c>
      <c r="C75" t="inlineStr">
        <is>
          <t>Föryngringsavverkning</t>
        </is>
      </c>
      <c r="D75" s="1" t="n">
        <v>45775</v>
      </c>
      <c r="E75" s="1" t="n">
        <v>46235</v>
      </c>
      <c r="F75" t="inlineStr">
        <is>
          <t>STOCKHOLMS LÄN</t>
        </is>
      </c>
      <c r="G75" t="inlineStr">
        <is>
          <t>HANINGE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14900-2025</t>
        </is>
      </c>
      <c r="B76" t="inlineStr">
        <is>
          <t>avverkningsanmälan</t>
        </is>
      </c>
      <c r="C76" t="inlineStr">
        <is>
          <t>Föryngringsavverkning</t>
        </is>
      </c>
      <c r="D76" s="1" t="n">
        <v>45743</v>
      </c>
      <c r="E76" s="1" t="n">
        <v>46235</v>
      </c>
      <c r="F76" t="inlineStr">
        <is>
          <t>STOCKHOLMS LÄN</t>
        </is>
      </c>
      <c r="G76" t="inlineStr">
        <is>
          <t>HANINGE</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1180-2024</t>
        </is>
      </c>
      <c r="B77" t="inlineStr">
        <is>
          <t>avverkningsanmälan</t>
        </is>
      </c>
      <c r="C77" t="inlineStr">
        <is>
          <t>Föryngringsavverkning</t>
        </is>
      </c>
      <c r="D77" s="1" t="n">
        <v>45302</v>
      </c>
      <c r="E77" s="1" t="n">
        <v>46235</v>
      </c>
      <c r="F77" t="inlineStr">
        <is>
          <t>STOCKHOLMS LÄN</t>
        </is>
      </c>
      <c r="G77" t="inlineStr">
        <is>
          <t>HANINGE</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19220-2023</t>
        </is>
      </c>
      <c r="B78" t="inlineStr">
        <is>
          <t>avverkningsanmälan</t>
        </is>
      </c>
      <c r="C78" t="inlineStr">
        <is>
          <t>Föryngringsavverkning</t>
        </is>
      </c>
      <c r="D78" s="1" t="n">
        <v>45048</v>
      </c>
      <c r="E78" s="1" t="n">
        <v>46235</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18490-2025</t>
        </is>
      </c>
      <c r="B79" t="inlineStr">
        <is>
          <t>avverkningsanmälan</t>
        </is>
      </c>
      <c r="C79" t="inlineStr">
        <is>
          <t>Föryngringsavverkning</t>
        </is>
      </c>
      <c r="D79" s="1" t="n">
        <v>45763</v>
      </c>
      <c r="E79" s="1" t="n">
        <v>46235</v>
      </c>
      <c r="F79" t="inlineStr">
        <is>
          <t>STOCKHOLMS LÄN</t>
        </is>
      </c>
      <c r="G79" t="inlineStr">
        <is>
          <t>HANINGE</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64568-2023</t>
        </is>
      </c>
      <c r="B80" t="inlineStr">
        <is>
          <t>avverkningsanmälan</t>
        </is>
      </c>
      <c r="C80" t="inlineStr">
        <is>
          <t>Föryngringsavverkning</t>
        </is>
      </c>
      <c r="D80" s="1" t="n">
        <v>45281</v>
      </c>
      <c r="E80" s="1" t="n">
        <v>46235</v>
      </c>
      <c r="F80" t="inlineStr">
        <is>
          <t>STOCKHOLMS LÄN</t>
        </is>
      </c>
      <c r="G80" t="inlineStr">
        <is>
          <t>HANINGE</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18548-2024</t>
        </is>
      </c>
      <c r="B81" t="inlineStr">
        <is>
          <t>avverkningsanmälan</t>
        </is>
      </c>
      <c r="C81" t="inlineStr">
        <is>
          <t>Föryngringsavverkning</t>
        </is>
      </c>
      <c r="D81" s="1" t="n">
        <v>45425</v>
      </c>
      <c r="E81" s="1" t="n">
        <v>46235</v>
      </c>
      <c r="F81" t="inlineStr">
        <is>
          <t>STOCKHOLMS LÄN</t>
        </is>
      </c>
      <c r="G81" t="inlineStr">
        <is>
          <t>HANINGE</t>
        </is>
      </c>
      <c r="H81" t="inlineStr">
        <is>
          <t>Kommuner</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46235</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46235</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27596-2025</t>
        </is>
      </c>
      <c r="B84" t="inlineStr">
        <is>
          <t>avverkningsanmälan</t>
        </is>
      </c>
      <c r="C84" t="inlineStr">
        <is>
          <t>Avverkning för att bevara och utveckla /försöksver</t>
        </is>
      </c>
      <c r="D84" s="1" t="n">
        <v>45813</v>
      </c>
      <c r="E84" s="1" t="n">
        <v>46235</v>
      </c>
      <c r="F84" t="inlineStr">
        <is>
          <t>STOCKHOLMS LÄN</t>
        </is>
      </c>
      <c r="G84" t="inlineStr">
        <is>
          <t>HANINGE</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46235</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46235</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2026-08-01T01:53:30Z</dcterms:created>
  <dcterms:modified xmlns:dcterms="http://purl.org/dc/terms/" xmlns:xsi="http://www.w3.org/2001/XMLSchema-instance" xsi:type="dcterms:W3CDTF">2026-08-01T01:53:30Z</dcterms:modified>
</cp:coreProperties>
</file>