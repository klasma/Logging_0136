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46126</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46126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46126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46126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46126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46126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46126</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46126</v>
      </c>
      <c r="D9" t="inlineStr">
        <is>
          <t>STOCKHOLMS LÄN</t>
        </is>
      </c>
      <c r="E9" t="inlineStr">
        <is>
          <t>HANINGE</t>
        </is>
      </c>
      <c r="G9" t="n">
        <v>17.7</v>
      </c>
      <c r="H9" t="n">
        <v>3</v>
      </c>
      <c r="I9" t="n">
        <v>7</v>
      </c>
      <c r="J9" t="n">
        <v>4</v>
      </c>
      <c r="K9" t="n">
        <v>0</v>
      </c>
      <c r="L9" t="n">
        <v>0</v>
      </c>
      <c r="M9" t="n">
        <v>0</v>
      </c>
      <c r="N9" t="n">
        <v>0</v>
      </c>
      <c r="O9" t="n">
        <v>4</v>
      </c>
      <c r="P9" t="n">
        <v>0</v>
      </c>
      <c r="Q9" t="n">
        <v>12</v>
      </c>
      <c r="R9" s="2" t="inlineStr">
        <is>
          <t>Granticka
Kandelabersvamp
Spillkråka
Vedtrappmossa
Brandticka
Grön sköldmossa
Grönpyrola
Mörk husmossa
Rödgul trumpetsvamp
Sårläka
Vedticka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46126</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46126</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17454-2026</t>
        </is>
      </c>
      <c r="B12" s="1" t="n">
        <v>46120.46743055555</v>
      </c>
      <c r="C12" s="1" t="n">
        <v>46126</v>
      </c>
      <c r="D12" t="inlineStr">
        <is>
          <t>STOCKHOLMS LÄN</t>
        </is>
      </c>
      <c r="E12" t="inlineStr">
        <is>
          <t>HANINGE</t>
        </is>
      </c>
      <c r="G12" t="n">
        <v>31.4</v>
      </c>
      <c r="H12" t="n">
        <v>2</v>
      </c>
      <c r="I12" t="n">
        <v>4</v>
      </c>
      <c r="J12" t="n">
        <v>2</v>
      </c>
      <c r="K12" t="n">
        <v>1</v>
      </c>
      <c r="L12" t="n">
        <v>0</v>
      </c>
      <c r="M12" t="n">
        <v>0</v>
      </c>
      <c r="N12" t="n">
        <v>0</v>
      </c>
      <c r="O12" t="n">
        <v>3</v>
      </c>
      <c r="P12" t="n">
        <v>1</v>
      </c>
      <c r="Q12" t="n">
        <v>7</v>
      </c>
      <c r="R12" s="2" t="inlineStr">
        <is>
          <t>Knärot
Granticka
Motaggsvamp
Blåsfliksmossa
Grön sköldmossa
Grönpyrola
Guldlockmossa</t>
        </is>
      </c>
      <c r="S12">
        <f>HYPERLINK("https://klasma.github.io/Logging_0136/artfynd/A 17454-2026 artfynd.xlsx", "A 17454-2026")</f>
        <v/>
      </c>
      <c r="T12">
        <f>HYPERLINK("https://klasma.github.io/Logging_0136/kartor/A 17454-2026 karta.png", "A 17454-2026")</f>
        <v/>
      </c>
      <c r="U12">
        <f>HYPERLINK("https://klasma.github.io/Logging_0136/knärot/A 17454-2026 karta knärot.png", "A 17454-2026")</f>
        <v/>
      </c>
      <c r="V12">
        <f>HYPERLINK("https://klasma.github.io/Logging_0136/klagomål/A 17454-2026 FSC-klagomål.docx", "A 17454-2026")</f>
        <v/>
      </c>
      <c r="W12">
        <f>HYPERLINK("https://klasma.github.io/Logging_0136/klagomålsmail/A 17454-2026 FSC-klagomål mail.docx", "A 17454-2026")</f>
        <v/>
      </c>
      <c r="X12">
        <f>HYPERLINK("https://klasma.github.io/Logging_0136/tillsyn/A 17454-2026 tillsynsbegäran.docx", "A 17454-2026")</f>
        <v/>
      </c>
      <c r="Y12">
        <f>HYPERLINK("https://klasma.github.io/Logging_0136/tillsynsmail/A 17454-2026 tillsynsbegäran mail.docx", "A 17454-2026")</f>
        <v/>
      </c>
    </row>
    <row r="13" ht="15" customHeight="1">
      <c r="A13" t="inlineStr">
        <is>
          <t>A 52616-2021</t>
        </is>
      </c>
      <c r="B13" s="1" t="n">
        <v>44463</v>
      </c>
      <c r="C13" s="1" t="n">
        <v>46126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46126</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46126</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46126</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46126</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20507-2025</t>
        </is>
      </c>
      <c r="B18" s="1" t="n">
        <v>45775.59121527777</v>
      </c>
      <c r="C18" s="1" t="n">
        <v>46126</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46126</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46126</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46126</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46126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46126</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46126</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68883-2021</t>
        </is>
      </c>
      <c r="B25" s="1" t="n">
        <v>44526</v>
      </c>
      <c r="C25" s="1" t="n">
        <v>46126</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46126</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46126</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46126</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17825-2021</t>
        </is>
      </c>
      <c r="B29" s="1" t="n">
        <v>44300</v>
      </c>
      <c r="C29" s="1" t="n">
        <v>46126</v>
      </c>
      <c r="D29" t="inlineStr">
        <is>
          <t>STOCKHOLMS LÄN</t>
        </is>
      </c>
      <c r="E29" t="inlineStr">
        <is>
          <t>HANINGE</t>
        </is>
      </c>
      <c r="G29" t="n">
        <v>0.3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46126</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46126</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50903-2021</t>
        </is>
      </c>
      <c r="B32" s="1" t="n">
        <v>44460</v>
      </c>
      <c r="C32" s="1" t="n">
        <v>46126</v>
      </c>
      <c r="D32" t="inlineStr">
        <is>
          <t>STOCKHOLMS LÄN</t>
        </is>
      </c>
      <c r="E32" t="inlineStr">
        <is>
          <t>HANINGE</t>
        </is>
      </c>
      <c r="G32" t="n">
        <v>1.5</v>
      </c>
      <c r="H32" t="n">
        <v>0</v>
      </c>
      <c r="I32" t="n">
        <v>0</v>
      </c>
      <c r="J32" t="n">
        <v>0</v>
      </c>
      <c r="K32" t="n">
        <v>0</v>
      </c>
      <c r="L32" t="n">
        <v>0</v>
      </c>
      <c r="M32" t="n">
        <v>0</v>
      </c>
      <c r="N32" t="n">
        <v>0</v>
      </c>
      <c r="O32" t="n">
        <v>0</v>
      </c>
      <c r="P32" t="n">
        <v>0</v>
      </c>
      <c r="Q32" t="n">
        <v>0</v>
      </c>
      <c r="R32" s="2" t="inlineStr"/>
    </row>
    <row r="33" ht="15" customHeight="1">
      <c r="A33" t="inlineStr">
        <is>
          <t>A 45501-2022</t>
        </is>
      </c>
      <c r="B33" s="1" t="n">
        <v>44845.42407407407</v>
      </c>
      <c r="C33" s="1" t="n">
        <v>46126</v>
      </c>
      <c r="D33" t="inlineStr">
        <is>
          <t>STOCKHOLMS LÄN</t>
        </is>
      </c>
      <c r="E33" t="inlineStr">
        <is>
          <t>HANINGE</t>
        </is>
      </c>
      <c r="G33" t="n">
        <v>2.7</v>
      </c>
      <c r="H33" t="n">
        <v>0</v>
      </c>
      <c r="I33" t="n">
        <v>0</v>
      </c>
      <c r="J33" t="n">
        <v>0</v>
      </c>
      <c r="K33" t="n">
        <v>0</v>
      </c>
      <c r="L33" t="n">
        <v>0</v>
      </c>
      <c r="M33" t="n">
        <v>0</v>
      </c>
      <c r="N33" t="n">
        <v>0</v>
      </c>
      <c r="O33" t="n">
        <v>0</v>
      </c>
      <c r="P33" t="n">
        <v>0</v>
      </c>
      <c r="Q33" t="n">
        <v>0</v>
      </c>
      <c r="R33" s="2" t="inlineStr"/>
    </row>
    <row r="34" ht="15" customHeight="1">
      <c r="A34" t="inlineStr">
        <is>
          <t>A 45498-2022</t>
        </is>
      </c>
      <c r="B34" s="1" t="n">
        <v>44845.42118055555</v>
      </c>
      <c r="C34" s="1" t="n">
        <v>46126</v>
      </c>
      <c r="D34" t="inlineStr">
        <is>
          <t>STOCKHOLMS LÄN</t>
        </is>
      </c>
      <c r="E34" t="inlineStr">
        <is>
          <t>HANINGE</t>
        </is>
      </c>
      <c r="G34" t="n">
        <v>2.1</v>
      </c>
      <c r="H34" t="n">
        <v>0</v>
      </c>
      <c r="I34" t="n">
        <v>0</v>
      </c>
      <c r="J34" t="n">
        <v>0</v>
      </c>
      <c r="K34" t="n">
        <v>0</v>
      </c>
      <c r="L34" t="n">
        <v>0</v>
      </c>
      <c r="M34" t="n">
        <v>0</v>
      </c>
      <c r="N34" t="n">
        <v>0</v>
      </c>
      <c r="O34" t="n">
        <v>0</v>
      </c>
      <c r="P34" t="n">
        <v>0</v>
      </c>
      <c r="Q34" t="n">
        <v>0</v>
      </c>
      <c r="R34" s="2" t="inlineStr"/>
    </row>
    <row r="35" ht="15" customHeight="1">
      <c r="A35" t="inlineStr">
        <is>
          <t>A 55853-2021</t>
        </is>
      </c>
      <c r="B35" s="1" t="n">
        <v>44476</v>
      </c>
      <c r="C35" s="1" t="n">
        <v>46126</v>
      </c>
      <c r="D35" t="inlineStr">
        <is>
          <t>STOCKHOLMS LÄN</t>
        </is>
      </c>
      <c r="E35" t="inlineStr">
        <is>
          <t>HANINGE</t>
        </is>
      </c>
      <c r="F35" t="inlineStr">
        <is>
          <t>Kommuner</t>
        </is>
      </c>
      <c r="G35" t="n">
        <v>1.3</v>
      </c>
      <c r="H35" t="n">
        <v>0</v>
      </c>
      <c r="I35" t="n">
        <v>0</v>
      </c>
      <c r="J35" t="n">
        <v>0</v>
      </c>
      <c r="K35" t="n">
        <v>0</v>
      </c>
      <c r="L35" t="n">
        <v>0</v>
      </c>
      <c r="M35" t="n">
        <v>0</v>
      </c>
      <c r="N35" t="n">
        <v>0</v>
      </c>
      <c r="O35" t="n">
        <v>0</v>
      </c>
      <c r="P35" t="n">
        <v>0</v>
      </c>
      <c r="Q35" t="n">
        <v>0</v>
      </c>
      <c r="R35" s="2" t="inlineStr"/>
    </row>
    <row r="36" ht="15" customHeight="1">
      <c r="A36" t="inlineStr">
        <is>
          <t>A 19652-2022</t>
        </is>
      </c>
      <c r="B36" s="1" t="n">
        <v>44694</v>
      </c>
      <c r="C36" s="1" t="n">
        <v>46126</v>
      </c>
      <c r="D36" t="inlineStr">
        <is>
          <t>STOCKHOLMS LÄN</t>
        </is>
      </c>
      <c r="E36" t="inlineStr">
        <is>
          <t>HANINGE</t>
        </is>
      </c>
      <c r="G36" t="n">
        <v>1.3</v>
      </c>
      <c r="H36" t="n">
        <v>0</v>
      </c>
      <c r="I36" t="n">
        <v>0</v>
      </c>
      <c r="J36" t="n">
        <v>0</v>
      </c>
      <c r="K36" t="n">
        <v>0</v>
      </c>
      <c r="L36" t="n">
        <v>0</v>
      </c>
      <c r="M36" t="n">
        <v>0</v>
      </c>
      <c r="N36" t="n">
        <v>0</v>
      </c>
      <c r="O36" t="n">
        <v>0</v>
      </c>
      <c r="P36" t="n">
        <v>0</v>
      </c>
      <c r="Q36" t="n">
        <v>0</v>
      </c>
      <c r="R36" s="2" t="inlineStr"/>
    </row>
    <row r="37" ht="15" customHeight="1">
      <c r="A37" t="inlineStr">
        <is>
          <t>A 45395-2021</t>
        </is>
      </c>
      <c r="B37" s="1" t="n">
        <v>44440</v>
      </c>
      <c r="C37" s="1" t="n">
        <v>46126</v>
      </c>
      <c r="D37" t="inlineStr">
        <is>
          <t>STOCKHOLMS LÄN</t>
        </is>
      </c>
      <c r="E37" t="inlineStr">
        <is>
          <t>HANINGE</t>
        </is>
      </c>
      <c r="F37" t="inlineStr">
        <is>
          <t>Övriga statliga verk och myndigheter</t>
        </is>
      </c>
      <c r="G37" t="n">
        <v>3.5</v>
      </c>
      <c r="H37" t="n">
        <v>0</v>
      </c>
      <c r="I37" t="n">
        <v>0</v>
      </c>
      <c r="J37" t="n">
        <v>0</v>
      </c>
      <c r="K37" t="n">
        <v>0</v>
      </c>
      <c r="L37" t="n">
        <v>0</v>
      </c>
      <c r="M37" t="n">
        <v>0</v>
      </c>
      <c r="N37" t="n">
        <v>0</v>
      </c>
      <c r="O37" t="n">
        <v>0</v>
      </c>
      <c r="P37" t="n">
        <v>0</v>
      </c>
      <c r="Q37" t="n">
        <v>0</v>
      </c>
      <c r="R37" s="2" t="inlineStr"/>
    </row>
    <row r="38" ht="15" customHeight="1">
      <c r="A38" t="inlineStr">
        <is>
          <t>A 43709-2021</t>
        </is>
      </c>
      <c r="B38" s="1" t="n">
        <v>44433.62136574074</v>
      </c>
      <c r="C38" s="1" t="n">
        <v>46126</v>
      </c>
      <c r="D38" t="inlineStr">
        <is>
          <t>STOCKHOLMS LÄN</t>
        </is>
      </c>
      <c r="E38" t="inlineStr">
        <is>
          <t>HANINGE</t>
        </is>
      </c>
      <c r="G38" t="n">
        <v>4</v>
      </c>
      <c r="H38" t="n">
        <v>0</v>
      </c>
      <c r="I38" t="n">
        <v>0</v>
      </c>
      <c r="J38" t="n">
        <v>0</v>
      </c>
      <c r="K38" t="n">
        <v>0</v>
      </c>
      <c r="L38" t="n">
        <v>0</v>
      </c>
      <c r="M38" t="n">
        <v>0</v>
      </c>
      <c r="N38" t="n">
        <v>0</v>
      </c>
      <c r="O38" t="n">
        <v>0</v>
      </c>
      <c r="P38" t="n">
        <v>0</v>
      </c>
      <c r="Q38" t="n">
        <v>0</v>
      </c>
      <c r="R38" s="2" t="inlineStr"/>
    </row>
    <row r="39" ht="15" customHeight="1">
      <c r="A39" t="inlineStr">
        <is>
          <t>A 55861-2021</t>
        </is>
      </c>
      <c r="B39" s="1" t="n">
        <v>44476</v>
      </c>
      <c r="C39" s="1" t="n">
        <v>46126</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46126</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46126</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30419-2022</t>
        </is>
      </c>
      <c r="B42" s="1" t="n">
        <v>44761</v>
      </c>
      <c r="C42" s="1" t="n">
        <v>46126</v>
      </c>
      <c r="D42" t="inlineStr">
        <is>
          <t>STOCKHOLMS LÄN</t>
        </is>
      </c>
      <c r="E42" t="inlineStr">
        <is>
          <t>HANINGE</t>
        </is>
      </c>
      <c r="G42" t="n">
        <v>7.4</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46126</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24873-2023</t>
        </is>
      </c>
      <c r="B44" s="1" t="n">
        <v>45085</v>
      </c>
      <c r="C44" s="1" t="n">
        <v>46126</v>
      </c>
      <c r="D44" t="inlineStr">
        <is>
          <t>STOCKHOLMS LÄN</t>
        </is>
      </c>
      <c r="E44" t="inlineStr">
        <is>
          <t>HANINGE</t>
        </is>
      </c>
      <c r="G44" t="n">
        <v>1.9</v>
      </c>
      <c r="H44" t="n">
        <v>0</v>
      </c>
      <c r="I44" t="n">
        <v>0</v>
      </c>
      <c r="J44" t="n">
        <v>0</v>
      </c>
      <c r="K44" t="n">
        <v>0</v>
      </c>
      <c r="L44" t="n">
        <v>0</v>
      </c>
      <c r="M44" t="n">
        <v>0</v>
      </c>
      <c r="N44" t="n">
        <v>0</v>
      </c>
      <c r="O44" t="n">
        <v>0</v>
      </c>
      <c r="P44" t="n">
        <v>0</v>
      </c>
      <c r="Q44" t="n">
        <v>0</v>
      </c>
      <c r="R44" s="2" t="inlineStr"/>
    </row>
    <row r="45" ht="15" customHeight="1">
      <c r="A45" t="inlineStr">
        <is>
          <t>A 52773-2024</t>
        </is>
      </c>
      <c r="B45" s="1" t="n">
        <v>45610.53207175926</v>
      </c>
      <c r="C45" s="1" t="n">
        <v>46126</v>
      </c>
      <c r="D45" t="inlineStr">
        <is>
          <t>STOCKHOLMS LÄN</t>
        </is>
      </c>
      <c r="E45" t="inlineStr">
        <is>
          <t>HANINGE</t>
        </is>
      </c>
      <c r="G45" t="n">
        <v>0.7</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46126</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23666-2024</t>
        </is>
      </c>
      <c r="B47" s="1" t="n">
        <v>45454.57909722222</v>
      </c>
      <c r="C47" s="1" t="n">
        <v>46126</v>
      </c>
      <c r="D47" t="inlineStr">
        <is>
          <t>STOCKHOLMS LÄN</t>
        </is>
      </c>
      <c r="E47" t="inlineStr">
        <is>
          <t>HANINGE</t>
        </is>
      </c>
      <c r="G47" t="n">
        <v>0.8</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46126</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38880-2025</t>
        </is>
      </c>
      <c r="B49" s="1" t="n">
        <v>45887.57966435186</v>
      </c>
      <c r="C49" s="1" t="n">
        <v>46126</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46126</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18491-2025</t>
        </is>
      </c>
      <c r="B51" s="1" t="n">
        <v>45763.34135416667</v>
      </c>
      <c r="C51" s="1" t="n">
        <v>46126</v>
      </c>
      <c r="D51" t="inlineStr">
        <is>
          <t>STOCKHOLMS LÄN</t>
        </is>
      </c>
      <c r="E51" t="inlineStr">
        <is>
          <t>HANINGE</t>
        </is>
      </c>
      <c r="G51" t="n">
        <v>0.5</v>
      </c>
      <c r="H51" t="n">
        <v>0</v>
      </c>
      <c r="I51" t="n">
        <v>0</v>
      </c>
      <c r="J51" t="n">
        <v>0</v>
      </c>
      <c r="K51" t="n">
        <v>0</v>
      </c>
      <c r="L51" t="n">
        <v>0</v>
      </c>
      <c r="M51" t="n">
        <v>0</v>
      </c>
      <c r="N51" t="n">
        <v>0</v>
      </c>
      <c r="O51" t="n">
        <v>0</v>
      </c>
      <c r="P51" t="n">
        <v>0</v>
      </c>
      <c r="Q51" t="n">
        <v>0</v>
      </c>
      <c r="R51" s="2" t="inlineStr"/>
    </row>
    <row r="52" ht="15" customHeight="1">
      <c r="A52" t="inlineStr">
        <is>
          <t>A 52770-2024</t>
        </is>
      </c>
      <c r="B52" s="1" t="n">
        <v>45610.52414351852</v>
      </c>
      <c r="C52" s="1" t="n">
        <v>46126</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row>
    <row r="53" ht="15" customHeight="1">
      <c r="A53" t="inlineStr">
        <is>
          <t>A 52836-2024</t>
        </is>
      </c>
      <c r="B53" s="1" t="n">
        <v>45610.59637731482</v>
      </c>
      <c r="C53" s="1" t="n">
        <v>46126</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5474-2024</t>
        </is>
      </c>
      <c r="B54" s="1" t="n">
        <v>45333.51131944444</v>
      </c>
      <c r="C54" s="1" t="n">
        <v>46126</v>
      </c>
      <c r="D54" t="inlineStr">
        <is>
          <t>STOCKHOLMS LÄN</t>
        </is>
      </c>
      <c r="E54" t="inlineStr">
        <is>
          <t>HANINGE</t>
        </is>
      </c>
      <c r="F54" t="inlineStr">
        <is>
          <t>Kommuner</t>
        </is>
      </c>
      <c r="G54" t="n">
        <v>0.9</v>
      </c>
      <c r="H54" t="n">
        <v>0</v>
      </c>
      <c r="I54" t="n">
        <v>0</v>
      </c>
      <c r="J54" t="n">
        <v>0</v>
      </c>
      <c r="K54" t="n">
        <v>0</v>
      </c>
      <c r="L54" t="n">
        <v>0</v>
      </c>
      <c r="M54" t="n">
        <v>0</v>
      </c>
      <c r="N54" t="n">
        <v>0</v>
      </c>
      <c r="O54" t="n">
        <v>0</v>
      </c>
      <c r="P54" t="n">
        <v>0</v>
      </c>
      <c r="Q54" t="n">
        <v>0</v>
      </c>
      <c r="R54" s="2" t="inlineStr"/>
    </row>
    <row r="55" ht="15" customHeight="1">
      <c r="A55" t="inlineStr">
        <is>
          <t>A 14900-2025</t>
        </is>
      </c>
      <c r="B55" s="1" t="n">
        <v>45743.48729166666</v>
      </c>
      <c r="C55" s="1" t="n">
        <v>46126</v>
      </c>
      <c r="D55" t="inlineStr">
        <is>
          <t>STOCKHOLMS LÄN</t>
        </is>
      </c>
      <c r="E55" t="inlineStr">
        <is>
          <t>HANINGE</t>
        </is>
      </c>
      <c r="G55" t="n">
        <v>4.5</v>
      </c>
      <c r="H55" t="n">
        <v>0</v>
      </c>
      <c r="I55" t="n">
        <v>0</v>
      </c>
      <c r="J55" t="n">
        <v>0</v>
      </c>
      <c r="K55" t="n">
        <v>0</v>
      </c>
      <c r="L55" t="n">
        <v>0</v>
      </c>
      <c r="M55" t="n">
        <v>0</v>
      </c>
      <c r="N55" t="n">
        <v>0</v>
      </c>
      <c r="O55" t="n">
        <v>0</v>
      </c>
      <c r="P55" t="n">
        <v>0</v>
      </c>
      <c r="Q55" t="n">
        <v>0</v>
      </c>
      <c r="R55" s="2" t="inlineStr"/>
    </row>
    <row r="56" ht="15" customHeight="1">
      <c r="A56" t="inlineStr">
        <is>
          <t>A 68896-2021</t>
        </is>
      </c>
      <c r="B56" s="1" t="n">
        <v>44526</v>
      </c>
      <c r="C56" s="1" t="n">
        <v>46126</v>
      </c>
      <c r="D56" t="inlineStr">
        <is>
          <t>STOCKHOLMS LÄN</t>
        </is>
      </c>
      <c r="E56" t="inlineStr">
        <is>
          <t>HANINGE</t>
        </is>
      </c>
      <c r="G56" t="n">
        <v>3.4</v>
      </c>
      <c r="H56" t="n">
        <v>0</v>
      </c>
      <c r="I56" t="n">
        <v>0</v>
      </c>
      <c r="J56" t="n">
        <v>0</v>
      </c>
      <c r="K56" t="n">
        <v>0</v>
      </c>
      <c r="L56" t="n">
        <v>0</v>
      </c>
      <c r="M56" t="n">
        <v>0</v>
      </c>
      <c r="N56" t="n">
        <v>0</v>
      </c>
      <c r="O56" t="n">
        <v>0</v>
      </c>
      <c r="P56" t="n">
        <v>0</v>
      </c>
      <c r="Q56" t="n">
        <v>0</v>
      </c>
      <c r="R56" s="2" t="inlineStr"/>
    </row>
    <row r="57" ht="15" customHeight="1">
      <c r="A57" t="inlineStr">
        <is>
          <t>A 21231-2025</t>
        </is>
      </c>
      <c r="B57" s="1" t="n">
        <v>45779.54644675926</v>
      </c>
      <c r="C57" s="1" t="n">
        <v>46126</v>
      </c>
      <c r="D57" t="inlineStr">
        <is>
          <t>STOCKHOLMS LÄN</t>
        </is>
      </c>
      <c r="E57" t="inlineStr">
        <is>
          <t>HANINGE</t>
        </is>
      </c>
      <c r="G57" t="n">
        <v>4.3</v>
      </c>
      <c r="H57" t="n">
        <v>0</v>
      </c>
      <c r="I57" t="n">
        <v>0</v>
      </c>
      <c r="J57" t="n">
        <v>0</v>
      </c>
      <c r="K57" t="n">
        <v>0</v>
      </c>
      <c r="L57" t="n">
        <v>0</v>
      </c>
      <c r="M57" t="n">
        <v>0</v>
      </c>
      <c r="N57" t="n">
        <v>0</v>
      </c>
      <c r="O57" t="n">
        <v>0</v>
      </c>
      <c r="P57" t="n">
        <v>0</v>
      </c>
      <c r="Q57" t="n">
        <v>0</v>
      </c>
      <c r="R57" s="2" t="inlineStr"/>
    </row>
    <row r="58" ht="15" customHeight="1">
      <c r="A58" t="inlineStr">
        <is>
          <t>A 6648-2023</t>
        </is>
      </c>
      <c r="B58" s="1" t="n">
        <v>44966</v>
      </c>
      <c r="C58" s="1" t="n">
        <v>46126</v>
      </c>
      <c r="D58" t="inlineStr">
        <is>
          <t>STOCKHOLMS LÄN</t>
        </is>
      </c>
      <c r="E58" t="inlineStr">
        <is>
          <t>HANINGE</t>
        </is>
      </c>
      <c r="G58" t="n">
        <v>4</v>
      </c>
      <c r="H58" t="n">
        <v>0</v>
      </c>
      <c r="I58" t="n">
        <v>0</v>
      </c>
      <c r="J58" t="n">
        <v>0</v>
      </c>
      <c r="K58" t="n">
        <v>0</v>
      </c>
      <c r="L58" t="n">
        <v>0</v>
      </c>
      <c r="M58" t="n">
        <v>0</v>
      </c>
      <c r="N58" t="n">
        <v>0</v>
      </c>
      <c r="O58" t="n">
        <v>0</v>
      </c>
      <c r="P58" t="n">
        <v>0</v>
      </c>
      <c r="Q58" t="n">
        <v>0</v>
      </c>
      <c r="R58" s="2" t="inlineStr"/>
    </row>
    <row r="59" ht="15" customHeight="1">
      <c r="A59" t="inlineStr">
        <is>
          <t>A 24115-2025</t>
        </is>
      </c>
      <c r="B59" s="1" t="n">
        <v>45796.61494212963</v>
      </c>
      <c r="C59" s="1" t="n">
        <v>46126</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38595-2021</t>
        </is>
      </c>
      <c r="B60" s="1" t="n">
        <v>44407</v>
      </c>
      <c r="C60" s="1" t="n">
        <v>46126</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24191-2025</t>
        </is>
      </c>
      <c r="B61" s="1" t="n">
        <v>45796.86738425926</v>
      </c>
      <c r="C61" s="1" t="n">
        <v>46126</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24193-2025</t>
        </is>
      </c>
      <c r="B62" s="1" t="n">
        <v>45796.89591435185</v>
      </c>
      <c r="C62" s="1" t="n">
        <v>46126</v>
      </c>
      <c r="D62" t="inlineStr">
        <is>
          <t>STOCKHOLMS LÄN</t>
        </is>
      </c>
      <c r="E62" t="inlineStr">
        <is>
          <t>HANINGE</t>
        </is>
      </c>
      <c r="G62" t="n">
        <v>0.4</v>
      </c>
      <c r="H62" t="n">
        <v>0</v>
      </c>
      <c r="I62" t="n">
        <v>0</v>
      </c>
      <c r="J62" t="n">
        <v>0</v>
      </c>
      <c r="K62" t="n">
        <v>0</v>
      </c>
      <c r="L62" t="n">
        <v>0</v>
      </c>
      <c r="M62" t="n">
        <v>0</v>
      </c>
      <c r="N62" t="n">
        <v>0</v>
      </c>
      <c r="O62" t="n">
        <v>0</v>
      </c>
      <c r="P62" t="n">
        <v>0</v>
      </c>
      <c r="Q62" t="n">
        <v>0</v>
      </c>
      <c r="R62" s="2" t="inlineStr"/>
    </row>
    <row r="63" ht="15" customHeight="1">
      <c r="A63" t="inlineStr">
        <is>
          <t>A 64075-2023</t>
        </is>
      </c>
      <c r="B63" s="1" t="n">
        <v>45279</v>
      </c>
      <c r="C63" s="1" t="n">
        <v>46126</v>
      </c>
      <c r="D63" t="inlineStr">
        <is>
          <t>STOCKHOLMS LÄN</t>
        </is>
      </c>
      <c r="E63" t="inlineStr">
        <is>
          <t>HANINGE</t>
        </is>
      </c>
      <c r="G63" t="n">
        <v>2.6</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46126</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58599-2023</t>
        </is>
      </c>
      <c r="B65" s="1" t="n">
        <v>45251.47721064815</v>
      </c>
      <c r="C65" s="1" t="n">
        <v>46126</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46126</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27596-2025</t>
        </is>
      </c>
      <c r="B67" s="1" t="n">
        <v>45813.52303240741</v>
      </c>
      <c r="C67" s="1" t="n">
        <v>46126</v>
      </c>
      <c r="D67" t="inlineStr">
        <is>
          <t>STOCKHOLMS LÄN</t>
        </is>
      </c>
      <c r="E67" t="inlineStr">
        <is>
          <t>HANINGE</t>
        </is>
      </c>
      <c r="G67" t="n">
        <v>0.1</v>
      </c>
      <c r="H67" t="n">
        <v>0</v>
      </c>
      <c r="I67" t="n">
        <v>0</v>
      </c>
      <c r="J67" t="n">
        <v>0</v>
      </c>
      <c r="K67" t="n">
        <v>0</v>
      </c>
      <c r="L67" t="n">
        <v>0</v>
      </c>
      <c r="M67" t="n">
        <v>0</v>
      </c>
      <c r="N67" t="n">
        <v>0</v>
      </c>
      <c r="O67" t="n">
        <v>0</v>
      </c>
      <c r="P67" t="n">
        <v>0</v>
      </c>
      <c r="Q67" t="n">
        <v>0</v>
      </c>
      <c r="R67" s="2" t="inlineStr"/>
    </row>
    <row r="68" ht="15" customHeight="1">
      <c r="A68" t="inlineStr">
        <is>
          <t>A 50306-2023</t>
        </is>
      </c>
      <c r="B68" s="1" t="n">
        <v>45209</v>
      </c>
      <c r="C68" s="1" t="n">
        <v>46126</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c r="U68">
        <f>HYPERLINK("https://klasma.github.io/Logging_0136/knärot/A 50306-2023 karta knärot.png", "A 50306-2023")</f>
        <v/>
      </c>
      <c r="V68">
        <f>HYPERLINK("https://klasma.github.io/Logging_0136/klagomål/A 50306-2023 FSC-klagomål.docx", "A 50306-2023")</f>
        <v/>
      </c>
      <c r="W68">
        <f>HYPERLINK("https://klasma.github.io/Logging_0136/klagomålsmail/A 50306-2023 FSC-klagomål mail.docx", "A 50306-2023")</f>
        <v/>
      </c>
      <c r="X68">
        <f>HYPERLINK("https://klasma.github.io/Logging_0136/tillsyn/A 50306-2023 tillsynsbegäran.docx", "A 50306-2023")</f>
        <v/>
      </c>
      <c r="Y68">
        <f>HYPERLINK("https://klasma.github.io/Logging_0136/tillsynsmail/A 50306-2023 tillsynsbegäran mail.docx", "A 50306-2023")</f>
        <v/>
      </c>
    </row>
    <row r="69" ht="15" customHeight="1">
      <c r="A69" t="inlineStr">
        <is>
          <t>A 22288-2023</t>
        </is>
      </c>
      <c r="B69" s="1" t="n">
        <v>45070</v>
      </c>
      <c r="C69" s="1" t="n">
        <v>46126</v>
      </c>
      <c r="D69" t="inlineStr">
        <is>
          <t>STOCKHOLMS LÄN</t>
        </is>
      </c>
      <c r="E69" t="inlineStr">
        <is>
          <t>HANINGE</t>
        </is>
      </c>
      <c r="G69" t="n">
        <v>2.8</v>
      </c>
      <c r="H69" t="n">
        <v>0</v>
      </c>
      <c r="I69" t="n">
        <v>0</v>
      </c>
      <c r="J69" t="n">
        <v>0</v>
      </c>
      <c r="K69" t="n">
        <v>0</v>
      </c>
      <c r="L69" t="n">
        <v>0</v>
      </c>
      <c r="M69" t="n">
        <v>0</v>
      </c>
      <c r="N69" t="n">
        <v>0</v>
      </c>
      <c r="O69" t="n">
        <v>0</v>
      </c>
      <c r="P69" t="n">
        <v>0</v>
      </c>
      <c r="Q69" t="n">
        <v>0</v>
      </c>
      <c r="R69" s="2" t="inlineStr"/>
    </row>
    <row r="70" ht="15" customHeight="1">
      <c r="A70" t="inlineStr">
        <is>
          <t>A 33792-2023</t>
        </is>
      </c>
      <c r="B70" s="1" t="n">
        <v>45121</v>
      </c>
      <c r="C70" s="1" t="n">
        <v>46126</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32952-2025</t>
        </is>
      </c>
      <c r="B71" s="1" t="n">
        <v>45839.69278935185</v>
      </c>
      <c r="C71" s="1" t="n">
        <v>46126</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32954-2025</t>
        </is>
      </c>
      <c r="B72" s="1" t="n">
        <v>45839.70034722222</v>
      </c>
      <c r="C72" s="1" t="n">
        <v>46126</v>
      </c>
      <c r="D72" t="inlineStr">
        <is>
          <t>STOCKHOLMS LÄN</t>
        </is>
      </c>
      <c r="E72" t="inlineStr">
        <is>
          <t>HANINGE</t>
        </is>
      </c>
      <c r="G72" t="n">
        <v>1.6</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46126</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32948-2025</t>
        </is>
      </c>
      <c r="B74" s="1" t="n">
        <v>45839</v>
      </c>
      <c r="C74" s="1" t="n">
        <v>46126</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59569-2025</t>
        </is>
      </c>
      <c r="B75" s="1" t="n">
        <v>45991.92870370371</v>
      </c>
      <c r="C75" s="1" t="n">
        <v>46126</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59565-2025</t>
        </is>
      </c>
      <c r="B76" s="1" t="n">
        <v>45991.88413194445</v>
      </c>
      <c r="C76" s="1" t="n">
        <v>46126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59568-2025</t>
        </is>
      </c>
      <c r="B77" s="1" t="n">
        <v>45991.90737268519</v>
      </c>
      <c r="C77" s="1" t="n">
        <v>46126</v>
      </c>
      <c r="D77" t="inlineStr">
        <is>
          <t>STOCKHOLMS LÄN</t>
        </is>
      </c>
      <c r="E77" t="inlineStr">
        <is>
          <t>HANINGE</t>
        </is>
      </c>
      <c r="G77" t="n">
        <v>5.8</v>
      </c>
      <c r="H77" t="n">
        <v>0</v>
      </c>
      <c r="I77" t="n">
        <v>0</v>
      </c>
      <c r="J77" t="n">
        <v>0</v>
      </c>
      <c r="K77" t="n">
        <v>0</v>
      </c>
      <c r="L77" t="n">
        <v>0</v>
      </c>
      <c r="M77" t="n">
        <v>0</v>
      </c>
      <c r="N77" t="n">
        <v>0</v>
      </c>
      <c r="O77" t="n">
        <v>0</v>
      </c>
      <c r="P77" t="n">
        <v>0</v>
      </c>
      <c r="Q77" t="n">
        <v>0</v>
      </c>
      <c r="R77" s="2" t="inlineStr"/>
    </row>
    <row r="78" ht="15" customHeight="1">
      <c r="A78" t="inlineStr">
        <is>
          <t>A 14264-2025</t>
        </is>
      </c>
      <c r="B78" s="1" t="n">
        <v>45740.6340162037</v>
      </c>
      <c r="C78" s="1" t="n">
        <v>46126</v>
      </c>
      <c r="D78" t="inlineStr">
        <is>
          <t>STOCKHOLMS LÄN</t>
        </is>
      </c>
      <c r="E78" t="inlineStr">
        <is>
          <t>HANINGE</t>
        </is>
      </c>
      <c r="G78" t="n">
        <v>1</v>
      </c>
      <c r="H78" t="n">
        <v>0</v>
      </c>
      <c r="I78" t="n">
        <v>0</v>
      </c>
      <c r="J78" t="n">
        <v>0</v>
      </c>
      <c r="K78" t="n">
        <v>0</v>
      </c>
      <c r="L78" t="n">
        <v>0</v>
      </c>
      <c r="M78" t="n">
        <v>0</v>
      </c>
      <c r="N78" t="n">
        <v>0</v>
      </c>
      <c r="O78" t="n">
        <v>0</v>
      </c>
      <c r="P78" t="n">
        <v>0</v>
      </c>
      <c r="Q78" t="n">
        <v>0</v>
      </c>
      <c r="R78" s="2" t="inlineStr"/>
    </row>
    <row r="79" ht="15" customHeight="1">
      <c r="A79" t="inlineStr">
        <is>
          <t>A 17020-2022</t>
        </is>
      </c>
      <c r="B79" s="1" t="n">
        <v>44676</v>
      </c>
      <c r="C79" s="1" t="n">
        <v>46126</v>
      </c>
      <c r="D79" t="inlineStr">
        <is>
          <t>STOCKHOLMS LÄN</t>
        </is>
      </c>
      <c r="E79" t="inlineStr">
        <is>
          <t>HANINGE</t>
        </is>
      </c>
      <c r="F79" t="inlineStr">
        <is>
          <t>Övriga statliga verk och myndigheter</t>
        </is>
      </c>
      <c r="G79" t="n">
        <v>12.4</v>
      </c>
      <c r="H79" t="n">
        <v>0</v>
      </c>
      <c r="I79" t="n">
        <v>0</v>
      </c>
      <c r="J79" t="n">
        <v>0</v>
      </c>
      <c r="K79" t="n">
        <v>0</v>
      </c>
      <c r="L79" t="n">
        <v>0</v>
      </c>
      <c r="M79" t="n">
        <v>0</v>
      </c>
      <c r="N79" t="n">
        <v>0</v>
      </c>
      <c r="O79" t="n">
        <v>0</v>
      </c>
      <c r="P79" t="n">
        <v>0</v>
      </c>
      <c r="Q79" t="n">
        <v>0</v>
      </c>
      <c r="R79" s="2" t="inlineStr"/>
    </row>
    <row r="80" ht="15" customHeight="1">
      <c r="A80" t="inlineStr">
        <is>
          <t>A 18512-2024</t>
        </is>
      </c>
      <c r="B80" s="1" t="n">
        <v>45425.59938657407</v>
      </c>
      <c r="C80" s="1" t="n">
        <v>46126</v>
      </c>
      <c r="D80" t="inlineStr">
        <is>
          <t>STOCKHOLMS LÄN</t>
        </is>
      </c>
      <c r="E80" t="inlineStr">
        <is>
          <t>HANINGE</t>
        </is>
      </c>
      <c r="F80" t="inlineStr">
        <is>
          <t>Kommuner</t>
        </is>
      </c>
      <c r="G80" t="n">
        <v>0.7</v>
      </c>
      <c r="H80" t="n">
        <v>0</v>
      </c>
      <c r="I80" t="n">
        <v>0</v>
      </c>
      <c r="J80" t="n">
        <v>0</v>
      </c>
      <c r="K80" t="n">
        <v>0</v>
      </c>
      <c r="L80" t="n">
        <v>0</v>
      </c>
      <c r="M80" t="n">
        <v>0</v>
      </c>
      <c r="N80" t="n">
        <v>0</v>
      </c>
      <c r="O80" t="n">
        <v>0</v>
      </c>
      <c r="P80" t="n">
        <v>0</v>
      </c>
      <c r="Q80" t="n">
        <v>0</v>
      </c>
      <c r="R80" s="2" t="inlineStr"/>
    </row>
    <row r="81" ht="15" customHeight="1">
      <c r="A81" t="inlineStr">
        <is>
          <t>A 4297-2024</t>
        </is>
      </c>
      <c r="B81" s="1" t="n">
        <v>45324.62291666667</v>
      </c>
      <c r="C81" s="1" t="n">
        <v>46126</v>
      </c>
      <c r="D81" t="inlineStr">
        <is>
          <t>STOCKHOLMS LÄN</t>
        </is>
      </c>
      <c r="E81" t="inlineStr">
        <is>
          <t>HANINGE</t>
        </is>
      </c>
      <c r="F81" t="inlineStr">
        <is>
          <t>Kommuner</t>
        </is>
      </c>
      <c r="G81" t="n">
        <v>0.4</v>
      </c>
      <c r="H81" t="n">
        <v>0</v>
      </c>
      <c r="I81" t="n">
        <v>0</v>
      </c>
      <c r="J81" t="n">
        <v>0</v>
      </c>
      <c r="K81" t="n">
        <v>0</v>
      </c>
      <c r="L81" t="n">
        <v>0</v>
      </c>
      <c r="M81" t="n">
        <v>0</v>
      </c>
      <c r="N81" t="n">
        <v>0</v>
      </c>
      <c r="O81" t="n">
        <v>0</v>
      </c>
      <c r="P81" t="n">
        <v>0</v>
      </c>
      <c r="Q81" t="n">
        <v>0</v>
      </c>
      <c r="R81" s="2" t="inlineStr"/>
    </row>
    <row r="82" ht="15" customHeight="1">
      <c r="A82" t="inlineStr">
        <is>
          <t>A 1703-2023</t>
        </is>
      </c>
      <c r="B82" s="1" t="n">
        <v>44938.44412037037</v>
      </c>
      <c r="C82" s="1" t="n">
        <v>46126</v>
      </c>
      <c r="D82" t="inlineStr">
        <is>
          <t>STOCKHOLMS LÄN</t>
        </is>
      </c>
      <c r="E82" t="inlineStr">
        <is>
          <t>HANINGE</t>
        </is>
      </c>
      <c r="G82" t="n">
        <v>1.8</v>
      </c>
      <c r="H82" t="n">
        <v>0</v>
      </c>
      <c r="I82" t="n">
        <v>0</v>
      </c>
      <c r="J82" t="n">
        <v>0</v>
      </c>
      <c r="K82" t="n">
        <v>0</v>
      </c>
      <c r="L82" t="n">
        <v>0</v>
      </c>
      <c r="M82" t="n">
        <v>0</v>
      </c>
      <c r="N82" t="n">
        <v>0</v>
      </c>
      <c r="O82" t="n">
        <v>0</v>
      </c>
      <c r="P82" t="n">
        <v>0</v>
      </c>
      <c r="Q82" t="n">
        <v>0</v>
      </c>
      <c r="R82" s="2" t="inlineStr"/>
    </row>
    <row r="83" ht="15" customHeight="1">
      <c r="A83" t="inlineStr">
        <is>
          <t>A 17765-2024</t>
        </is>
      </c>
      <c r="B83" s="1" t="n">
        <v>45418.63149305555</v>
      </c>
      <c r="C83" s="1" t="n">
        <v>46126</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46126</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12782-2026</t>
        </is>
      </c>
      <c r="B85" s="1" t="n">
        <v>46091.76701388889</v>
      </c>
      <c r="C85" s="1" t="n">
        <v>46126</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12787-2026</t>
        </is>
      </c>
      <c r="B86" s="1" t="n">
        <v>46091.85130787037</v>
      </c>
      <c r="C86" s="1" t="n">
        <v>46126</v>
      </c>
      <c r="D86" t="inlineStr">
        <is>
          <t>STOCKHOLMS LÄN</t>
        </is>
      </c>
      <c r="E86" t="inlineStr">
        <is>
          <t>HANINGE</t>
        </is>
      </c>
      <c r="G86" t="n">
        <v>4</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46126</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1187-2024</t>
        </is>
      </c>
      <c r="B88" s="1" t="n">
        <v>45302.58045138889</v>
      </c>
      <c r="C88" s="1" t="n">
        <v>46126</v>
      </c>
      <c r="D88" t="inlineStr">
        <is>
          <t>STOCKHOLMS LÄN</t>
        </is>
      </c>
      <c r="E88" t="inlineStr">
        <is>
          <t>HANINGE</t>
        </is>
      </c>
      <c r="G88" t="n">
        <v>1.5</v>
      </c>
      <c r="H88" t="n">
        <v>0</v>
      </c>
      <c r="I88" t="n">
        <v>0</v>
      </c>
      <c r="J88" t="n">
        <v>0</v>
      </c>
      <c r="K88" t="n">
        <v>0</v>
      </c>
      <c r="L88" t="n">
        <v>0</v>
      </c>
      <c r="M88" t="n">
        <v>0</v>
      </c>
      <c r="N88" t="n">
        <v>0</v>
      </c>
      <c r="O88" t="n">
        <v>0</v>
      </c>
      <c r="P88" t="n">
        <v>0</v>
      </c>
      <c r="Q88" t="n">
        <v>0</v>
      </c>
      <c r="R88" s="2" t="inlineStr"/>
    </row>
    <row r="89" ht="15" customHeight="1">
      <c r="A89" t="inlineStr">
        <is>
          <t>A 1180-2024</t>
        </is>
      </c>
      <c r="B89" s="1" t="n">
        <v>45302</v>
      </c>
      <c r="C89" s="1" t="n">
        <v>46126</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1184-2024</t>
        </is>
      </c>
      <c r="B90" s="1" t="n">
        <v>45302.57663194444</v>
      </c>
      <c r="C90" s="1" t="n">
        <v>46126</v>
      </c>
      <c r="D90" t="inlineStr">
        <is>
          <t>STOCKHOLMS LÄN</t>
        </is>
      </c>
      <c r="E90" t="inlineStr">
        <is>
          <t>HANINGE</t>
        </is>
      </c>
      <c r="G90" t="n">
        <v>3.6</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46126</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18490-2025</t>
        </is>
      </c>
      <c r="B92" s="1" t="n">
        <v>45763</v>
      </c>
      <c r="C92" s="1" t="n">
        <v>46126</v>
      </c>
      <c r="D92" t="inlineStr">
        <is>
          <t>STOCKHOLMS LÄN</t>
        </is>
      </c>
      <c r="E92" t="inlineStr">
        <is>
          <t>HANINGE</t>
        </is>
      </c>
      <c r="G92" t="n">
        <v>3</v>
      </c>
      <c r="H92" t="n">
        <v>0</v>
      </c>
      <c r="I92" t="n">
        <v>0</v>
      </c>
      <c r="J92" t="n">
        <v>0</v>
      </c>
      <c r="K92" t="n">
        <v>0</v>
      </c>
      <c r="L92" t="n">
        <v>0</v>
      </c>
      <c r="M92" t="n">
        <v>0</v>
      </c>
      <c r="N92" t="n">
        <v>0</v>
      </c>
      <c r="O92" t="n">
        <v>0</v>
      </c>
      <c r="P92" t="n">
        <v>0</v>
      </c>
      <c r="Q92" t="n">
        <v>0</v>
      </c>
      <c r="R92" s="2" t="inlineStr"/>
    </row>
    <row r="93" ht="15" customHeight="1">
      <c r="A93" t="inlineStr">
        <is>
          <t>A 64568-2023</t>
        </is>
      </c>
      <c r="B93" s="1" t="n">
        <v>45281.43164351852</v>
      </c>
      <c r="C93" s="1" t="n">
        <v>46126</v>
      </c>
      <c r="D93" t="inlineStr">
        <is>
          <t>STOCKHOLMS LÄN</t>
        </is>
      </c>
      <c r="E93" t="inlineStr">
        <is>
          <t>HANINGE</t>
        </is>
      </c>
      <c r="G93" t="n">
        <v>3.1</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46126</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41809-2021</t>
        </is>
      </c>
      <c r="B95" s="1" t="n">
        <v>44425</v>
      </c>
      <c r="C95" s="1" t="n">
        <v>46126</v>
      </c>
      <c r="D95" t="inlineStr">
        <is>
          <t>STOCKHOLMS LÄN</t>
        </is>
      </c>
      <c r="E95" t="inlineStr">
        <is>
          <t>HANINGE</t>
        </is>
      </c>
      <c r="G95" t="n">
        <v>0.9</v>
      </c>
      <c r="H95" t="n">
        <v>0</v>
      </c>
      <c r="I95" t="n">
        <v>0</v>
      </c>
      <c r="J95" t="n">
        <v>0</v>
      </c>
      <c r="K95" t="n">
        <v>0</v>
      </c>
      <c r="L95" t="n">
        <v>0</v>
      </c>
      <c r="M95" t="n">
        <v>0</v>
      </c>
      <c r="N95" t="n">
        <v>0</v>
      </c>
      <c r="O95" t="n">
        <v>0</v>
      </c>
      <c r="P95" t="n">
        <v>0</v>
      </c>
      <c r="Q95" t="n">
        <v>0</v>
      </c>
      <c r="R95" s="2" t="inlineStr"/>
    </row>
    <row r="96" ht="15" customHeight="1">
      <c r="A96" t="inlineStr">
        <is>
          <t>A 68894-2021</t>
        </is>
      </c>
      <c r="B96" s="1" t="n">
        <v>44526</v>
      </c>
      <c r="C96" s="1" t="n">
        <v>46126</v>
      </c>
      <c r="D96" t="inlineStr">
        <is>
          <t>STOCKHOLMS LÄN</t>
        </is>
      </c>
      <c r="E96" t="inlineStr">
        <is>
          <t>HANINGE</t>
        </is>
      </c>
      <c r="G96" t="n">
        <v>1.2</v>
      </c>
      <c r="H96" t="n">
        <v>0</v>
      </c>
      <c r="I96" t="n">
        <v>0</v>
      </c>
      <c r="J96" t="n">
        <v>0</v>
      </c>
      <c r="K96" t="n">
        <v>0</v>
      </c>
      <c r="L96" t="n">
        <v>0</v>
      </c>
      <c r="M96" t="n">
        <v>0</v>
      </c>
      <c r="N96" t="n">
        <v>0</v>
      </c>
      <c r="O96" t="n">
        <v>0</v>
      </c>
      <c r="P96" t="n">
        <v>0</v>
      </c>
      <c r="Q96" t="n">
        <v>0</v>
      </c>
      <c r="R96" s="2" t="inlineStr"/>
    </row>
    <row r="97" ht="15" customHeight="1">
      <c r="A97" t="inlineStr">
        <is>
          <t>A 13046-2022</t>
        </is>
      </c>
      <c r="B97" s="1" t="n">
        <v>44643</v>
      </c>
      <c r="C97" s="1" t="n">
        <v>46126</v>
      </c>
      <c r="D97" t="inlineStr">
        <is>
          <t>STOCKHOLMS LÄN</t>
        </is>
      </c>
      <c r="E97" t="inlineStr">
        <is>
          <t>HANINGE</t>
        </is>
      </c>
      <c r="G97" t="n">
        <v>2.3</v>
      </c>
      <c r="H97" t="n">
        <v>0</v>
      </c>
      <c r="I97" t="n">
        <v>0</v>
      </c>
      <c r="J97" t="n">
        <v>0</v>
      </c>
      <c r="K97" t="n">
        <v>0</v>
      </c>
      <c r="L97" t="n">
        <v>0</v>
      </c>
      <c r="M97" t="n">
        <v>0</v>
      </c>
      <c r="N97" t="n">
        <v>0</v>
      </c>
      <c r="O97" t="n">
        <v>0</v>
      </c>
      <c r="P97" t="n">
        <v>0</v>
      </c>
      <c r="Q97" t="n">
        <v>0</v>
      </c>
      <c r="R97" s="2" t="inlineStr"/>
    </row>
    <row r="98">
      <c r="A98" t="inlineStr">
        <is>
          <t>A 8078-2024</t>
        </is>
      </c>
      <c r="B98" s="1" t="n">
        <v>45351.43737268518</v>
      </c>
      <c r="C98" s="1" t="n">
        <v>46126</v>
      </c>
      <c r="D98" t="inlineStr">
        <is>
          <t>STOCKHOLMS LÄN</t>
        </is>
      </c>
      <c r="E98" t="inlineStr">
        <is>
          <t>HANINGE</t>
        </is>
      </c>
      <c r="F98" t="inlineStr">
        <is>
          <t>Kommuner</t>
        </is>
      </c>
      <c r="G98" t="n">
        <v>1.4</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2026-04-14T10:34:41Z</dcterms:created>
  <dcterms:modified xmlns:dcterms="http://purl.org/dc/terms/" xmlns:xsi="http://www.w3.org/2001/XMLSchema-instance" xsi:type="dcterms:W3CDTF">2026-04-14T10:34:41Z</dcterms:modified>
</cp:coreProperties>
</file>